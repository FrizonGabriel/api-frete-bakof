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na\Downloads\"/>
    </mc:Choice>
  </mc:AlternateContent>
  <xr:revisionPtr revIDLastSave="0" documentId="8_{D06CE576-6479-40DD-8113-08BCA64EAC9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SE_CALCULO" sheetId="1" r:id="rId1"/>
    <sheet name="D" sheetId="2" r:id="rId2"/>
    <sheet name="CADASTRO_PRODUTO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5" i="3" l="1"/>
  <c r="E153" i="3" l="1"/>
  <c r="E82" i="3" l="1"/>
  <c r="E83" i="3"/>
  <c r="E76" i="3"/>
  <c r="E77" i="3"/>
  <c r="E78" i="3"/>
  <c r="E79" i="3"/>
  <c r="E80" i="3"/>
  <c r="E81" i="3"/>
  <c r="B11" i="1" l="1"/>
  <c r="B14" i="1" s="1"/>
  <c r="E26" i="3" l="1"/>
  <c r="F7" i="2"/>
  <c r="E231" i="3" l="1"/>
  <c r="E46" i="3" l="1"/>
  <c r="E50" i="3"/>
  <c r="E53" i="3"/>
  <c r="E54" i="3"/>
  <c r="E55" i="3"/>
  <c r="E506" i="3" l="1"/>
  <c r="E505" i="3"/>
  <c r="E504" i="3"/>
  <c r="E503" i="3"/>
  <c r="E502" i="3"/>
  <c r="E501" i="3"/>
  <c r="E500" i="3"/>
  <c r="E499" i="3"/>
  <c r="E498" i="3"/>
  <c r="E497" i="3"/>
  <c r="E496" i="3"/>
  <c r="E495" i="3"/>
  <c r="E494" i="3"/>
  <c r="E493" i="3"/>
  <c r="E492" i="3"/>
  <c r="E491" i="3"/>
  <c r="E490" i="3"/>
  <c r="E489" i="3"/>
  <c r="E488" i="3"/>
  <c r="E487" i="3"/>
  <c r="E486" i="3"/>
  <c r="E485" i="3"/>
  <c r="E484" i="3"/>
  <c r="E483" i="3"/>
  <c r="E482" i="3"/>
  <c r="E481" i="3"/>
  <c r="E480" i="3"/>
  <c r="E479" i="3"/>
  <c r="E478" i="3"/>
  <c r="E477" i="3"/>
  <c r="E476" i="3"/>
  <c r="E475" i="3"/>
  <c r="E474" i="3"/>
  <c r="E473" i="3"/>
  <c r="E472" i="3"/>
  <c r="E471" i="3"/>
  <c r="E470" i="3"/>
  <c r="E469" i="3"/>
  <c r="E468" i="3"/>
  <c r="E467" i="3"/>
  <c r="E466" i="3"/>
  <c r="E465" i="3"/>
  <c r="E464" i="3"/>
  <c r="E463" i="3"/>
  <c r="E462" i="3"/>
  <c r="E461" i="3"/>
  <c r="E460" i="3"/>
  <c r="E459" i="3"/>
  <c r="E458" i="3"/>
  <c r="E457" i="3"/>
  <c r="E456" i="3"/>
  <c r="E455" i="3"/>
  <c r="E454" i="3"/>
  <c r="E453" i="3"/>
  <c r="E452" i="3"/>
  <c r="E451" i="3"/>
  <c r="E450" i="3"/>
  <c r="E449" i="3"/>
  <c r="E448" i="3"/>
  <c r="E447" i="3"/>
  <c r="E446" i="3"/>
  <c r="E445" i="3"/>
  <c r="E444" i="3"/>
  <c r="E443" i="3"/>
  <c r="E442" i="3"/>
  <c r="E441" i="3"/>
  <c r="E440" i="3"/>
  <c r="E439" i="3"/>
  <c r="E438" i="3"/>
  <c r="E437" i="3"/>
  <c r="E436" i="3"/>
  <c r="E435" i="3"/>
  <c r="E434" i="3"/>
  <c r="E433" i="3"/>
  <c r="E432" i="3"/>
  <c r="E431" i="3"/>
  <c r="E430" i="3"/>
  <c r="E429" i="3"/>
  <c r="E428" i="3"/>
  <c r="E427" i="3"/>
  <c r="E426" i="3"/>
  <c r="E425" i="3"/>
  <c r="E424" i="3"/>
  <c r="E423" i="3"/>
  <c r="E422" i="3"/>
  <c r="E421" i="3"/>
  <c r="E420" i="3"/>
  <c r="E419" i="3"/>
  <c r="E418" i="3"/>
  <c r="E417" i="3"/>
  <c r="E416" i="3"/>
  <c r="E415" i="3"/>
  <c r="E414" i="3"/>
  <c r="E413" i="3"/>
  <c r="E412" i="3"/>
  <c r="E411" i="3"/>
  <c r="E410" i="3"/>
  <c r="E409" i="3"/>
  <c r="E408" i="3"/>
  <c r="E407" i="3"/>
  <c r="E406" i="3"/>
  <c r="E405" i="3"/>
  <c r="E404" i="3"/>
  <c r="E403" i="3"/>
  <c r="E402" i="3"/>
  <c r="E401" i="3"/>
  <c r="E400" i="3"/>
  <c r="E399" i="3"/>
  <c r="E398" i="3"/>
  <c r="E397" i="3"/>
  <c r="E396" i="3"/>
  <c r="E395" i="3"/>
  <c r="E394" i="3"/>
  <c r="E393" i="3"/>
  <c r="E392" i="3"/>
  <c r="E391" i="3"/>
  <c r="E390" i="3"/>
  <c r="E389" i="3"/>
  <c r="E388" i="3"/>
  <c r="E387" i="3"/>
  <c r="E386" i="3"/>
  <c r="E385" i="3"/>
  <c r="E384" i="3"/>
  <c r="E383" i="3"/>
  <c r="E382" i="3"/>
  <c r="E381" i="3"/>
  <c r="E380" i="3"/>
  <c r="E379" i="3"/>
  <c r="E378" i="3"/>
  <c r="E377" i="3"/>
  <c r="E376" i="3"/>
  <c r="E375" i="3"/>
  <c r="E374" i="3"/>
  <c r="E373" i="3"/>
  <c r="E372" i="3"/>
  <c r="E371" i="3"/>
  <c r="E370" i="3"/>
  <c r="E369" i="3"/>
  <c r="E368" i="3"/>
  <c r="E367" i="3"/>
  <c r="E366" i="3"/>
  <c r="E365" i="3"/>
  <c r="E364" i="3"/>
  <c r="E363" i="3"/>
  <c r="E362" i="3"/>
  <c r="E361" i="3"/>
  <c r="E360" i="3"/>
  <c r="E359" i="3"/>
  <c r="E358" i="3"/>
  <c r="E357" i="3"/>
  <c r="E356" i="3"/>
  <c r="E355" i="3"/>
  <c r="E354" i="3"/>
  <c r="E353" i="3"/>
  <c r="E352" i="3"/>
  <c r="E351" i="3"/>
  <c r="E350" i="3"/>
  <c r="E349" i="3"/>
  <c r="E348" i="3"/>
  <c r="E347" i="3"/>
  <c r="E346" i="3"/>
  <c r="E345" i="3"/>
  <c r="E344" i="3"/>
  <c r="E343" i="3"/>
  <c r="E342" i="3"/>
  <c r="E341" i="3"/>
  <c r="E57" i="3"/>
  <c r="E122" i="3"/>
  <c r="E126" i="3"/>
  <c r="E124" i="3"/>
  <c r="E120" i="3"/>
  <c r="E327" i="3"/>
  <c r="E325" i="3"/>
  <c r="E323" i="3"/>
  <c r="E150" i="3"/>
  <c r="E146" i="3"/>
  <c r="E152" i="3"/>
  <c r="E148" i="3"/>
  <c r="E144" i="3"/>
  <c r="E37" i="3"/>
  <c r="E35" i="3"/>
  <c r="E33" i="3"/>
  <c r="E191" i="3"/>
  <c r="E189" i="3"/>
  <c r="E187" i="3"/>
  <c r="E185" i="3"/>
  <c r="E195" i="3"/>
  <c r="E193" i="3"/>
  <c r="E71" i="3"/>
  <c r="E69" i="3"/>
  <c r="E67" i="3"/>
  <c r="E63" i="3"/>
  <c r="E61" i="3"/>
  <c r="E59" i="3"/>
  <c r="E75" i="3"/>
  <c r="E73" i="3"/>
  <c r="E65" i="3"/>
  <c r="E215" i="3"/>
  <c r="E213" i="3"/>
  <c r="E219" i="3"/>
  <c r="E217" i="3"/>
  <c r="E211" i="3"/>
  <c r="E209" i="3"/>
  <c r="E207" i="3"/>
  <c r="E205" i="3"/>
  <c r="E203" i="3"/>
  <c r="E201" i="3"/>
  <c r="E199" i="3"/>
  <c r="E197" i="3"/>
  <c r="E18" i="3"/>
  <c r="E16" i="3"/>
  <c r="E14" i="3"/>
  <c r="E12" i="3"/>
  <c r="E22" i="3"/>
  <c r="E20" i="3"/>
  <c r="E8" i="3"/>
  <c r="E4" i="3"/>
  <c r="E10" i="3"/>
  <c r="E6" i="3"/>
  <c r="E2" i="3"/>
  <c r="E93" i="3"/>
  <c r="E91" i="3"/>
  <c r="E89" i="3"/>
  <c r="E87" i="3"/>
  <c r="E85" i="3"/>
  <c r="E99" i="3"/>
  <c r="E97" i="3"/>
  <c r="E95" i="3"/>
  <c r="E175" i="3"/>
  <c r="E183" i="3"/>
  <c r="E181" i="3"/>
  <c r="E179" i="3"/>
  <c r="E177" i="3"/>
  <c r="E173" i="3"/>
  <c r="E172" i="3"/>
  <c r="E139" i="3"/>
  <c r="E167" i="3"/>
  <c r="E138" i="3"/>
  <c r="E166" i="3"/>
  <c r="E136" i="3"/>
  <c r="E164" i="3"/>
  <c r="E135" i="3"/>
  <c r="E163" i="3"/>
  <c r="E134" i="3"/>
  <c r="E162" i="3"/>
  <c r="E142" i="3"/>
  <c r="E170" i="3"/>
  <c r="E141" i="3"/>
  <c r="E169" i="3"/>
  <c r="E140" i="3"/>
  <c r="E168" i="3"/>
  <c r="E137" i="3"/>
  <c r="E165" i="3"/>
  <c r="E131" i="3"/>
  <c r="E159" i="3"/>
  <c r="E130" i="3"/>
  <c r="E158" i="3"/>
  <c r="E133" i="3"/>
  <c r="E161" i="3"/>
  <c r="E132" i="3"/>
  <c r="E160" i="3"/>
  <c r="E223" i="3"/>
  <c r="E221" i="3"/>
  <c r="E222" i="3"/>
  <c r="E220" i="3"/>
  <c r="E24" i="3"/>
  <c r="E316" i="3"/>
  <c r="E315" i="3"/>
  <c r="E314" i="3"/>
  <c r="E313" i="3"/>
  <c r="E312" i="3"/>
  <c r="E129" i="3"/>
  <c r="E128" i="3"/>
  <c r="E127" i="3"/>
  <c r="E156" i="3"/>
  <c r="E155" i="3"/>
  <c r="E154" i="3"/>
  <c r="E271" i="3"/>
  <c r="E311" i="3"/>
  <c r="E309" i="3"/>
  <c r="E307" i="3"/>
  <c r="E305" i="3"/>
  <c r="E303" i="3"/>
  <c r="E301" i="3"/>
  <c r="E299" i="3"/>
  <c r="E297" i="3"/>
  <c r="E295" i="3"/>
  <c r="E293" i="3"/>
  <c r="E291" i="3"/>
  <c r="E289" i="3"/>
  <c r="E287" i="3"/>
  <c r="E285" i="3"/>
  <c r="E283" i="3"/>
  <c r="E279" i="3"/>
  <c r="E275" i="3"/>
  <c r="E282" i="3"/>
  <c r="E278" i="3"/>
  <c r="E274" i="3"/>
  <c r="E269" i="3"/>
  <c r="E227" i="3"/>
  <c r="E267" i="3"/>
  <c r="E265" i="3"/>
  <c r="E263" i="3"/>
  <c r="E261" i="3"/>
  <c r="E259" i="3"/>
  <c r="E257" i="3"/>
  <c r="E253" i="3"/>
  <c r="E251" i="3"/>
  <c r="E249" i="3"/>
  <c r="E247" i="3"/>
  <c r="E243" i="3"/>
  <c r="E241" i="3"/>
  <c r="E239" i="3"/>
  <c r="E237" i="3"/>
  <c r="E235" i="3"/>
  <c r="E233" i="3"/>
  <c r="E229" i="3"/>
  <c r="E225" i="3"/>
  <c r="E255" i="3"/>
  <c r="E245" i="3"/>
  <c r="E52" i="3"/>
  <c r="E51" i="3"/>
  <c r="E49" i="3"/>
  <c r="E48" i="3"/>
  <c r="E47" i="3"/>
  <c r="E56" i="3"/>
  <c r="E23" i="3"/>
  <c r="E25" i="3"/>
  <c r="E103" i="3"/>
  <c r="E118" i="3"/>
  <c r="E117" i="3"/>
  <c r="E116" i="3"/>
  <c r="E115" i="3"/>
  <c r="E114" i="3"/>
  <c r="E101" i="3"/>
  <c r="E113" i="3"/>
  <c r="E100" i="3"/>
  <c r="E112" i="3"/>
  <c r="E111" i="3"/>
  <c r="E110" i="3"/>
  <c r="E109" i="3"/>
  <c r="E108" i="3"/>
  <c r="E107" i="3"/>
  <c r="E106" i="3"/>
  <c r="E105" i="3"/>
  <c r="E104" i="3"/>
  <c r="E102" i="3"/>
  <c r="E36" i="3"/>
  <c r="E34" i="3"/>
  <c r="E32" i="3"/>
  <c r="E190" i="3"/>
  <c r="E188" i="3"/>
  <c r="E186" i="3"/>
  <c r="E184" i="3"/>
  <c r="E194" i="3"/>
  <c r="E192" i="3"/>
  <c r="E121" i="3"/>
  <c r="E125" i="3"/>
  <c r="E123" i="3"/>
  <c r="E119" i="3"/>
  <c r="E326" i="3"/>
  <c r="E324" i="3"/>
  <c r="E322" i="3"/>
  <c r="E149" i="3"/>
  <c r="E145" i="3"/>
  <c r="E151" i="3"/>
  <c r="E147" i="3"/>
  <c r="E143" i="3"/>
  <c r="E174" i="3"/>
  <c r="E182" i="3"/>
  <c r="E180" i="3"/>
  <c r="E178" i="3"/>
  <c r="E176" i="3"/>
  <c r="E171" i="3"/>
  <c r="E70" i="3"/>
  <c r="E68" i="3"/>
  <c r="E66" i="3"/>
  <c r="E62" i="3"/>
  <c r="E60" i="3"/>
  <c r="E58" i="3"/>
  <c r="E74" i="3"/>
  <c r="E72" i="3"/>
  <c r="E64" i="3"/>
  <c r="E214" i="3"/>
  <c r="E212" i="3"/>
  <c r="E218" i="3"/>
  <c r="E216" i="3"/>
  <c r="E210" i="3"/>
  <c r="E208" i="3"/>
  <c r="E206" i="3"/>
  <c r="E204" i="3"/>
  <c r="E202" i="3"/>
  <c r="E200" i="3"/>
  <c r="E198" i="3"/>
  <c r="E196" i="3"/>
  <c r="E17" i="3"/>
  <c r="E15" i="3"/>
  <c r="E13" i="3"/>
  <c r="E11" i="3"/>
  <c r="E21" i="3"/>
  <c r="E19" i="3"/>
  <c r="E7" i="3"/>
  <c r="E3" i="3"/>
  <c r="E9" i="3"/>
  <c r="E5" i="3"/>
  <c r="E1" i="3"/>
  <c r="E92" i="3"/>
  <c r="E90" i="3"/>
  <c r="E88" i="3"/>
  <c r="E86" i="3"/>
  <c r="E84" i="3"/>
  <c r="E98" i="3"/>
  <c r="E96" i="3"/>
  <c r="E94" i="3"/>
  <c r="E320" i="3"/>
  <c r="E319" i="3"/>
  <c r="E318" i="3"/>
  <c r="E317" i="3"/>
  <c r="E321" i="3"/>
  <c r="E270" i="3"/>
  <c r="E310" i="3"/>
  <c r="E308" i="3"/>
  <c r="E306" i="3"/>
  <c r="E304" i="3"/>
  <c r="E302" i="3"/>
  <c r="E300" i="3"/>
  <c r="E298" i="3"/>
  <c r="E296" i="3"/>
  <c r="E294" i="3"/>
  <c r="E292" i="3"/>
  <c r="E290" i="3"/>
  <c r="E288" i="3"/>
  <c r="E286" i="3"/>
  <c r="E284" i="3"/>
  <c r="E281" i="3"/>
  <c r="E277" i="3"/>
  <c r="E273" i="3"/>
  <c r="E280" i="3"/>
  <c r="E276" i="3"/>
  <c r="E272" i="3"/>
  <c r="E268" i="3"/>
  <c r="E226" i="3"/>
  <c r="E266" i="3"/>
  <c r="E264" i="3"/>
  <c r="E262" i="3"/>
  <c r="E260" i="3"/>
  <c r="E258" i="3"/>
  <c r="E256" i="3"/>
  <c r="E252" i="3"/>
  <c r="E250" i="3"/>
  <c r="E248" i="3"/>
  <c r="E246" i="3"/>
  <c r="E242" i="3"/>
  <c r="E240" i="3"/>
  <c r="E238" i="3"/>
  <c r="E236" i="3"/>
  <c r="E234" i="3"/>
  <c r="E232" i="3"/>
  <c r="E228" i="3"/>
  <c r="E224" i="3"/>
  <c r="E254" i="3"/>
  <c r="E244" i="3"/>
  <c r="E230" i="3"/>
  <c r="E333" i="3"/>
  <c r="E332" i="3"/>
  <c r="E331" i="3"/>
  <c r="E329" i="3"/>
  <c r="E328" i="3"/>
  <c r="E335" i="3"/>
  <c r="E334" i="3"/>
  <c r="E330" i="3"/>
  <c r="E336" i="3"/>
  <c r="E339" i="3"/>
  <c r="E338" i="3"/>
  <c r="E337" i="3"/>
  <c r="E44" i="3"/>
  <c r="E43" i="3"/>
  <c r="E42" i="3"/>
  <c r="E41" i="3"/>
  <c r="E40" i="3"/>
  <c r="E39" i="3"/>
  <c r="E38" i="3"/>
  <c r="E31" i="3"/>
  <c r="E30" i="3"/>
  <c r="E29" i="3"/>
  <c r="E28" i="3"/>
  <c r="E27" i="3"/>
  <c r="B8" i="1" l="1"/>
</calcChain>
</file>

<file path=xl/sharedStrings.xml><?xml version="1.0" encoding="utf-8"?>
<sst xmlns="http://schemas.openxmlformats.org/spreadsheetml/2006/main" count="366" uniqueCount="236">
  <si>
    <t>CALCULO DE FRETE POR TAMANHO DE PEÇA</t>
  </si>
  <si>
    <t>KILOMETRAGEM -&gt;</t>
  </si>
  <si>
    <t>AgroTanque Vertical 5.000 l</t>
  </si>
  <si>
    <t>VALOR DO FRETE -&gt;</t>
  </si>
  <si>
    <t>PEÇAS HORIZONTAIS USAR LARGURA</t>
  </si>
  <si>
    <t>PEÇAS VERTICAIS USAR ALTURA</t>
  </si>
  <si>
    <t>TAMANHO DA PEÇA -&gt;</t>
  </si>
  <si>
    <t>TC ABAIXO DE 10.000L USAR LARGURA MAIOR</t>
  </si>
  <si>
    <t>VALOR KM</t>
  </si>
  <si>
    <t>TAMANHO CAMINHAO</t>
  </si>
  <si>
    <t>PRODUTOS</t>
  </si>
  <si>
    <t>MEDIDA</t>
  </si>
  <si>
    <t xml:space="preserve">Caixas Autolimpantes - 10.000 l </t>
  </si>
  <si>
    <t xml:space="preserve">Caixas Autolimpantes - 10.700 l </t>
  </si>
  <si>
    <t xml:space="preserve">Caixas Autolimpantes - 12.000 l </t>
  </si>
  <si>
    <t xml:space="preserve">Caixas Autolimpantes - 15.000 l </t>
  </si>
  <si>
    <t xml:space="preserve">Caixas Autolimpantes - 20.000 l </t>
  </si>
  <si>
    <t xml:space="preserve">Caixas Autolimpantes - 25.000 l </t>
  </si>
  <si>
    <t xml:space="preserve">Caixas em Fibra de Vidro - 10.000 l </t>
  </si>
  <si>
    <t xml:space="preserve">Caixas em Fibra de Vidro - 10.700 l </t>
  </si>
  <si>
    <t xml:space="preserve">Caixas em Fibra de Vidro - 12.000 l </t>
  </si>
  <si>
    <t xml:space="preserve">Caixas em Fibra de Vidro - 15.000 l </t>
  </si>
  <si>
    <t xml:space="preserve">Caixas em Fibra de Vidro - 20.000 l </t>
  </si>
  <si>
    <t xml:space="preserve">Caixas em Fibra de Vidro - 25.000 l </t>
  </si>
  <si>
    <t xml:space="preserve">Caixas em Fibra de Vidro - 30.000 l </t>
  </si>
  <si>
    <t xml:space="preserve">Tanques para Transporte - 2.500 l </t>
  </si>
  <si>
    <t xml:space="preserve">Tanques para Transporte - 5.000 l </t>
  </si>
  <si>
    <t xml:space="preserve">Tanques para Transporte - 7.500 l </t>
  </si>
  <si>
    <t xml:space="preserve">Tanques para Transporte - 10.000 l </t>
  </si>
  <si>
    <t xml:space="preserve">Tanques para Combustivel - 2.500 l </t>
  </si>
  <si>
    <t xml:space="preserve">Tanques para Combustivel - 5.000 l </t>
  </si>
  <si>
    <t xml:space="preserve">Tanques para Combustivel - 7.500 l </t>
  </si>
  <si>
    <t xml:space="preserve">Tanques para Combustivel - 10.000 l </t>
  </si>
  <si>
    <t xml:space="preserve">Tanques para Combustivel - 15.000 l </t>
  </si>
  <si>
    <t xml:space="preserve">Tanques para Combustivel - 20.000 l </t>
  </si>
  <si>
    <t xml:space="preserve">Tanques para Combustivel - 25.000 l </t>
  </si>
  <si>
    <t xml:space="preserve">Tanques para Combustivel - 30.000 l </t>
  </si>
  <si>
    <t xml:space="preserve">Tanques Cilíndricos Horizontais - 2.500 l </t>
  </si>
  <si>
    <t xml:space="preserve">Tanques Cilíndricos Horizontais - 5.000 l </t>
  </si>
  <si>
    <t xml:space="preserve">Tanques Cilíndricos Horizontais - 7.500 l </t>
  </si>
  <si>
    <t xml:space="preserve">Tanques Cilíndricos Horizontais - 10.000 l </t>
  </si>
  <si>
    <t xml:space="preserve">Tanques Cilíndricos Horizontais - 15.000 l </t>
  </si>
  <si>
    <t xml:space="preserve">Tanques Cilíndricos Horizontais - 20.000 l </t>
  </si>
  <si>
    <t xml:space="preserve">Tanques Cilíndricos Horizontais - 25.000 l </t>
  </si>
  <si>
    <t xml:space="preserve">Tanques Cilíndricos Horizontais - 30.000 l </t>
  </si>
  <si>
    <t xml:space="preserve">Tanques Cilíndricos Horizontais - 35.000 l </t>
  </si>
  <si>
    <t xml:space="preserve">Tanques Cilíndricos Horizontais - 40.000 l </t>
  </si>
  <si>
    <t xml:space="preserve">Tanques Cilíndricos Horizontais - 45.000 l </t>
  </si>
  <si>
    <t xml:space="preserve">Tanques Cilíndricos Horizontais - 50.000 l </t>
  </si>
  <si>
    <t xml:space="preserve">Tanques Cilíndricos Horizontais - 55.000 l </t>
  </si>
  <si>
    <t xml:space="preserve">Tanques Cilíndricos Horizontais - 60.000 l </t>
  </si>
  <si>
    <t xml:space="preserve">Tanques Cilíndricos Horizontais - 65.000 l </t>
  </si>
  <si>
    <t xml:space="preserve">Tanques Cilíndricos Horizontais - 70.000 l </t>
  </si>
  <si>
    <t xml:space="preserve">Tanques Cilíndricos Horizontais - 75.000 l </t>
  </si>
  <si>
    <t xml:space="preserve">Tanques Cilíndricos Horizontais - 80.000 l </t>
  </si>
  <si>
    <t xml:space="preserve">Tanques Cilíndricos Horizontais - 85.000 l </t>
  </si>
  <si>
    <t xml:space="preserve">Tanques Cilíndricos Horizontais - 90.000 l </t>
  </si>
  <si>
    <t xml:space="preserve">Tanques Cilíndricos Horizontais - 95.000 l </t>
  </si>
  <si>
    <t xml:space="preserve">Tanques Cilíndricos Horizontais - 100.000 l </t>
  </si>
  <si>
    <t xml:space="preserve">Tanques Cilíndricos Verticais - 10.000 l </t>
  </si>
  <si>
    <t xml:space="preserve">Tanques Cilíndricos Verticais - 15.000 l </t>
  </si>
  <si>
    <t xml:space="preserve">Tanques Cilíndricos Verticais - 20.000 l </t>
  </si>
  <si>
    <t xml:space="preserve">Tanques Cilíndricos Verticais - 25.000 l </t>
  </si>
  <si>
    <t xml:space="preserve">Tanques Cilíndricos Verticais - 30.000 l </t>
  </si>
  <si>
    <t xml:space="preserve">Tanques Cilíndricos Verticais - 35.000 l </t>
  </si>
  <si>
    <t xml:space="preserve">Tanques Cilíndricos Verticais - 40.000 l </t>
  </si>
  <si>
    <t xml:space="preserve">Tanques Cilíndricos Verticais - 45.000 l </t>
  </si>
  <si>
    <t xml:space="preserve">Tanques Cilíndricos Verticais - 50.000 l </t>
  </si>
  <si>
    <t xml:space="preserve">Tanques Cilíndricos Verticais - 55.000 l </t>
  </si>
  <si>
    <t xml:space="preserve">Tanques Cilíndricos Verticais - 60.000 l </t>
  </si>
  <si>
    <t xml:space="preserve">Tanques Cilíndricos Verticais - 65.000 l </t>
  </si>
  <si>
    <t xml:space="preserve">Tanques Cilíndricos Verticais - 70.000 l </t>
  </si>
  <si>
    <t xml:space="preserve">Tanques Cilíndricos Verticais - 75.000 l </t>
  </si>
  <si>
    <t xml:space="preserve">Tanques Cilíndricos Verticais - 80.000 l </t>
  </si>
  <si>
    <t xml:space="preserve">Tanques Cilíndricos Verticais - 85.000 l </t>
  </si>
  <si>
    <t xml:space="preserve">Tanques Cilíndricos Verticais - 90.000 l </t>
  </si>
  <si>
    <t xml:space="preserve">Tanques Cilíndricos Verticais - 95.000 l </t>
  </si>
  <si>
    <t xml:space="preserve">Tanques Cilíndricos Verticais - 100.000 l </t>
  </si>
  <si>
    <t>Tanques em Polietileno Grandes Volumes - 5.000 l</t>
  </si>
  <si>
    <t>Tanques em Polietileno Grandes Volumes - 10.000 l</t>
  </si>
  <si>
    <t>Tanques em Polietileno Grandes Volumes - 15.000 l</t>
  </si>
  <si>
    <t>Tanques em Polietileno Grandes Volumes - 16.000 l</t>
  </si>
  <si>
    <t>Tanques em Polietileno Grandes Volumes - 20,000 l</t>
  </si>
  <si>
    <t>Elevatória/ Equalização de Efluentes Vertical - 3000 l</t>
  </si>
  <si>
    <t>Elevatória/ Equalização de Efluentes Vertical - 5000 l</t>
  </si>
  <si>
    <t>Elevatória/ Equalização de Efluentes Vertical - 7500 l</t>
  </si>
  <si>
    <t>Elevatória/ Equalização de Efluentes Vertical - 10000 l</t>
  </si>
  <si>
    <t>Elevatória/ Equalização de Efluentes Vertical - 12000 l</t>
  </si>
  <si>
    <t>Elevatória/ Equalização de Efluentes Vertical - 15000 l</t>
  </si>
  <si>
    <t>Elevatória/ Equalização de Efluentes Vertical - 20000 l</t>
  </si>
  <si>
    <t>Elevatória/ Equalização de Efluentes Vertical - 25000 l</t>
  </si>
  <si>
    <t>Adensador de Lodo - Modelo Cilíndrico - 1.000 l</t>
  </si>
  <si>
    <t>Adensador de Lodo - Modelo Cilíndrico - 2.650 l</t>
  </si>
  <si>
    <t>Adensador de Lodo - Modelo Cilíndrico - 5.300 l</t>
  </si>
  <si>
    <t>Adensador de Lodo - Modelo Cilíndrico - 10.700 l</t>
  </si>
  <si>
    <t>Adensador de Lodo - Modelo Cilíndrico - 21.300 l</t>
  </si>
  <si>
    <t>Adensador de Lodo - Modelo Tronco - Cônico - 3.000 l</t>
  </si>
  <si>
    <t>Adensador de Lodo - Modelo Tronco - Cônico - 5.000 l</t>
  </si>
  <si>
    <t>Adensador de Lodo - Modelo Tronco - Cônico - 10000 l</t>
  </si>
  <si>
    <t>Adensador de Lodo - Modelo Tronco - Cônico - 15000 l</t>
  </si>
  <si>
    <t>Adensador de Lodo - Modelo Tronco - Cônico - 20000 l</t>
  </si>
  <si>
    <t>Adensador de Lodo - Modelo Tronco - Cônico - 25000 l</t>
  </si>
  <si>
    <t>Sistemas Aeróbios - Modelo Horizontal - 10000 l</t>
  </si>
  <si>
    <t>Sistemas Aeróbios - Modelo Horizontal - 15000 l</t>
  </si>
  <si>
    <t>Sistemas Aeróbios - Modelo Horizontal - 20000 l</t>
  </si>
  <si>
    <t>Sistemas Aeróbios - Modelo Horizontal - 25000 l</t>
  </si>
  <si>
    <t>Sistemas Aeróbios - Modelo Horizontal - 30000 l</t>
  </si>
  <si>
    <t>Sistemas Aeróbios - Modelo Horizontal - 35000 l</t>
  </si>
  <si>
    <t>Sistemas Aeróbios - Modelo Horizontal - 40000 l</t>
  </si>
  <si>
    <t>Sistemas Aeróbios - Modelo Horizontal - 45000 l</t>
  </si>
  <si>
    <t>Sistemas Aeróbios - Modelo Vertical  - 4000 l</t>
  </si>
  <si>
    <t>Sistemas Aeróbios - Modelo Vertical  - 8000 l</t>
  </si>
  <si>
    <t>Sistemas Aeróbios - Modelo Vertical  - 16000 l</t>
  </si>
  <si>
    <t>Sistemas Aeróbios - Modelo Vertical  - 32000 l</t>
  </si>
  <si>
    <t>Decantador 2.500 l</t>
  </si>
  <si>
    <t>Decantador 5.000 l</t>
  </si>
  <si>
    <t>Decantador 7.500 l</t>
  </si>
  <si>
    <t>Decantador 10.000 l</t>
  </si>
  <si>
    <t>Decantador 12.500 l</t>
  </si>
  <si>
    <t>Decantador 15.000 l</t>
  </si>
  <si>
    <t>Decantador 20.000 l</t>
  </si>
  <si>
    <t>Decantador 25.000 l</t>
  </si>
  <si>
    <t>Decantador 30.000 l</t>
  </si>
  <si>
    <t>Separador de Água e Óleo 1.000 l</t>
  </si>
  <si>
    <t>Separador de Água e Óleo 2.000 l</t>
  </si>
  <si>
    <t>Separador de Água e Óleo 4.000 l</t>
  </si>
  <si>
    <t>Separador de Água e Óleo 6.000 l</t>
  </si>
  <si>
    <t>Separador de Água e Óleo 8.000 l</t>
  </si>
  <si>
    <t>Separador de Água e Óleo 12.000 l</t>
  </si>
  <si>
    <t>Flotadores 1.000 l</t>
  </si>
  <si>
    <t>Flotadores 2.500 l</t>
  </si>
  <si>
    <t>Flotadores 5.500 l</t>
  </si>
  <si>
    <t>Flotadores 11.500 l</t>
  </si>
  <si>
    <t>Flotadores 22.500 l</t>
  </si>
  <si>
    <t>Tanques Misturadores 1.000 l</t>
  </si>
  <si>
    <t>Tanques Misturadores 2.500 l</t>
  </si>
  <si>
    <t>Tanques Misturadores 5.500 l</t>
  </si>
  <si>
    <t>Filtro de Areia Carvão 1.000 l</t>
  </si>
  <si>
    <t>Filtro de Areia Carvão 2.500 l</t>
  </si>
  <si>
    <t>Filtro de Areia Carvão 5.500 l</t>
  </si>
  <si>
    <t>Filtro de Areia Carvão 11.500 l</t>
  </si>
  <si>
    <t>Silo 4 ton</t>
  </si>
  <si>
    <t>Silo 7 ton</t>
  </si>
  <si>
    <t>Silo 10 ton</t>
  </si>
  <si>
    <t>Silo 12 ton</t>
  </si>
  <si>
    <t>Silo 14 ton</t>
  </si>
  <si>
    <t>Silo 16 ton</t>
  </si>
  <si>
    <t>Caixas de Peixe 1.000 l</t>
  </si>
  <si>
    <t>Caixas de Peixe 2.000 l</t>
  </si>
  <si>
    <t>Caixas de Peixe 3.000 l</t>
  </si>
  <si>
    <t>Filamento 10.000 l</t>
  </si>
  <si>
    <t>Filamento 15.000 l</t>
  </si>
  <si>
    <t>Filamento 20.000 l</t>
  </si>
  <si>
    <t>Filamento 25.000 l</t>
  </si>
  <si>
    <t>Filamento 30.000 l</t>
  </si>
  <si>
    <t>Filamento 35.000 l</t>
  </si>
  <si>
    <t>Filamento 40.000 l</t>
  </si>
  <si>
    <t>Filamento 45.000 l</t>
  </si>
  <si>
    <t>Filamento 50.000 l</t>
  </si>
  <si>
    <t>Filamento 55.000 l</t>
  </si>
  <si>
    <t>Filamento  60.000 l</t>
  </si>
  <si>
    <t>Filamento 65.000 l</t>
  </si>
  <si>
    <t>Filamento  70.000 l</t>
  </si>
  <si>
    <t>Filamento 75.000 l</t>
  </si>
  <si>
    <t>Filamento 80.000 l</t>
  </si>
  <si>
    <t>Filamento 85.000 l</t>
  </si>
  <si>
    <t>Filamento 90.000 l</t>
  </si>
  <si>
    <t>Filamento 95.000 l</t>
  </si>
  <si>
    <t>Filamento 100.000 l</t>
  </si>
  <si>
    <t>AgroTanque Vertical 10.000 l</t>
  </si>
  <si>
    <t>Tanques em Polietileno - 10.000 l</t>
  </si>
  <si>
    <t>Tanques em Polietileno - 15.000 l</t>
  </si>
  <si>
    <t>Tanques em Polietileno - 16.000 l</t>
  </si>
  <si>
    <t>Tanques em Polietileno - 20.000 l</t>
  </si>
  <si>
    <t>Tanques em Polietileno - 30.000 l</t>
  </si>
  <si>
    <t xml:space="preserve">Tanques  Estac. Horiz. Fibra Combustivel - 5.000 l </t>
  </si>
  <si>
    <t xml:space="preserve">Tanques  Estac. Horiz.Fibra Combustivel - 7.500 l </t>
  </si>
  <si>
    <t xml:space="preserve">Tanques  Estac. Horiz.Fibra Combustivel - 10.000 l </t>
  </si>
  <si>
    <t xml:space="preserve">Tanques  Estac. Horiz.Poli Combustivel - 3.000 l </t>
  </si>
  <si>
    <t>Cisterna TC 1.000 l</t>
  </si>
  <si>
    <t>Cisterna TC 2.000 l</t>
  </si>
  <si>
    <t>Cisterna TC 3.000 l</t>
  </si>
  <si>
    <t>Cisterna TC 5.000 l</t>
  </si>
  <si>
    <t>Cisterna TC 7.000 l</t>
  </si>
  <si>
    <t>Cisterna TC 7.500 l</t>
  </si>
  <si>
    <t>Cisterna TC 10.000 l</t>
  </si>
  <si>
    <t>Cisterna TC 12.000 l</t>
  </si>
  <si>
    <t>Cisterna TC 15.000 l</t>
  </si>
  <si>
    <t>Cisterna TC 20.000 l</t>
  </si>
  <si>
    <t>Cisterna TC 25000 l</t>
  </si>
  <si>
    <t>Fossa em Polietileno - 10.000 l</t>
  </si>
  <si>
    <t>Fossa em Polietileno - 15.000 l</t>
  </si>
  <si>
    <t>Fossa em Polietileno - 20.000 l</t>
  </si>
  <si>
    <t>Filtro ou Biofiltro em Polietileno - 10.000 l</t>
  </si>
  <si>
    <t>Filtro ou Biofiltro em Polietileno - 15.000 l</t>
  </si>
  <si>
    <t>Filtro ou Biofiltro em Polietileno - 20.000 l</t>
  </si>
  <si>
    <t>Reator Tucunaré 4.000</t>
  </si>
  <si>
    <t>Filtro ou Biofiltro Tucunaré 4.000</t>
  </si>
  <si>
    <t>Reator Tucunaré 8.000</t>
  </si>
  <si>
    <t>Filtro ou Biofiltro Tucunaré 8.000</t>
  </si>
  <si>
    <t>Reator Tucunaré 16.000</t>
  </si>
  <si>
    <t>Filtro ou Biofiltro Tucunaré 16.000</t>
  </si>
  <si>
    <t>Reator Tucunaré 32.000</t>
  </si>
  <si>
    <t>Filtro ou Biofiltro Tucunaré 32.000</t>
  </si>
  <si>
    <t>Filtro ou Biofiltro UASB 2.000</t>
  </si>
  <si>
    <t>Reator UASB 2.000 l</t>
  </si>
  <si>
    <t>Reator UASB 3.000 l</t>
  </si>
  <si>
    <t>Filtro ou Biofiltro UASB 3.000</t>
  </si>
  <si>
    <t>Reator UASB 5.000 l</t>
  </si>
  <si>
    <t>Filtro ou Biofiltro UASB 5.000</t>
  </si>
  <si>
    <t>Reator UASB 7.500 l</t>
  </si>
  <si>
    <t>Filtro ou Biofiltro UASB 7.500</t>
  </si>
  <si>
    <t>Reator UASB 10.000 l</t>
  </si>
  <si>
    <t>Filtro ou Biofiltro UASB 10.000</t>
  </si>
  <si>
    <t>Reator UASB 12.000 l</t>
  </si>
  <si>
    <t>Filtro ou Biofiltro UASB 12.000</t>
  </si>
  <si>
    <t>Reator UASB 15.000 l</t>
  </si>
  <si>
    <t>Filtro ou Biofiltro UASB 15.000</t>
  </si>
  <si>
    <t>Reator UASB 20.000 l</t>
  </si>
  <si>
    <t>Filtro ou Biofiltro UASB 20.000</t>
  </si>
  <si>
    <t>Reator UASB 25.000 l</t>
  </si>
  <si>
    <t>Filtro ou Biofiltro UASB 25.000</t>
  </si>
  <si>
    <t>m³</t>
  </si>
  <si>
    <t>FOSSAS POLI USAR A ALTURA</t>
  </si>
  <si>
    <t>OCUPAÇÃO DO CAMINHÃO</t>
  </si>
  <si>
    <t>Cocho Auto Consumo</t>
  </si>
  <si>
    <t>Decantador Tronco Conico MOD3 VOL. 2.752L FIB.BAKOF</t>
  </si>
  <si>
    <t>Decantador Tronco Conico MOD5 VOL. 4.555L FIB.BAKOF</t>
  </si>
  <si>
    <t>Decantador Tronco Conico MOD7.5 VOL. 6.828L FIB.BAKOF</t>
  </si>
  <si>
    <t>Decantador Tronco Conico MOD10 VOL. 9.400L FIB.BAKOF</t>
  </si>
  <si>
    <t>Decantador Tronco Conico MOD12 VOL. L FIB.BAKOF</t>
  </si>
  <si>
    <t>Decantador Tronco Conico MOD15 VOL. 13.740L FIB.BAKOF</t>
  </si>
  <si>
    <t>Decantador Tronco Conico MOD20 VOL. 18.720L FIB.BAKOF</t>
  </si>
  <si>
    <t>Decantador Tronco Conico MOD25 VOL. 23.704L FIB.BAKOF</t>
  </si>
  <si>
    <t>Fossa em Polietileno - 5.000 l</t>
  </si>
  <si>
    <t>Calha Parshall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</si>
</sst>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00\ &quot;KM&quot;"/>
    <numFmt numFmtId="165" formatCode="[$R$ -416]#,##0.00"/>
    <numFmt numFmtId="166" formatCode="0.00\ &quot;METROS&quot;"/>
    <numFmt numFmtId="167" formatCode="_([$R$ -416]* #,##0.00_);_([$R$ -416]* \(#,##0.00\);_([$R$ -416]* &quot;-&quot;??_);_(@_)"/>
  </numFmts>
  <fonts count="14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4"/>
      <color rgb="FFFFFFFF"/>
      <name val="Arial"/>
      <family val="2"/>
      <scheme val="minor"/>
    </font>
    <font>
      <sz val="10"/>
      <name val="Arial"/>
      <family val="2"/>
    </font>
    <font>
      <sz val="14"/>
      <color theme="1"/>
      <name val="Arial"/>
      <family val="2"/>
      <scheme val="minor"/>
    </font>
    <font>
      <sz val="14"/>
      <color rgb="FF000000"/>
      <name val="Arial"/>
      <family val="2"/>
      <scheme val="minor"/>
    </font>
    <font>
      <b/>
      <sz val="14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2"/>
      <color rgb="FF000000"/>
      <name val="Arial"/>
      <family val="2"/>
      <scheme val="minor"/>
    </font>
    <font>
      <sz val="12"/>
      <color rgb="FF000000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6"/>
      <color rgb="FF000000"/>
      <name val="Arial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93C47D"/>
        <bgColor rgb="FF93C47D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rgb="FF92D050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3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double">
        <color rgb="FF3C78D8"/>
      </right>
      <top style="double">
        <color rgb="FF3C78D8"/>
      </top>
      <bottom style="double">
        <color rgb="FF3C78D8"/>
      </bottom>
      <diagonal/>
    </border>
    <border>
      <left style="double">
        <color rgb="FFF1C232"/>
      </left>
      <right style="thin">
        <color rgb="FF000000"/>
      </right>
      <top style="double">
        <color rgb="FFF1C232"/>
      </top>
      <bottom style="double">
        <color rgb="FFF1C232"/>
      </bottom>
      <diagonal/>
    </border>
    <border>
      <left style="thin">
        <color rgb="FF000000"/>
      </left>
      <right style="double">
        <color rgb="FFFFFFFF"/>
      </right>
      <top/>
      <bottom/>
      <diagonal/>
    </border>
    <border>
      <left style="double">
        <color rgb="FFFFFFFF"/>
      </left>
      <right style="thin">
        <color rgb="FF000000"/>
      </right>
      <top/>
      <bottom/>
      <diagonal/>
    </border>
    <border>
      <left style="thin">
        <color rgb="FF000000"/>
      </left>
      <right/>
      <top style="double">
        <color rgb="FF3C78D8"/>
      </top>
      <bottom style="double">
        <color rgb="FFF1C232"/>
      </bottom>
      <diagonal/>
    </border>
    <border>
      <left/>
      <right style="thin">
        <color rgb="FF000000"/>
      </right>
      <top style="double">
        <color rgb="FF3C78D8"/>
      </top>
      <bottom style="double">
        <color rgb="FFF1C232"/>
      </bottom>
      <diagonal/>
    </border>
    <border>
      <left style="double">
        <color rgb="FFFFFFFF"/>
      </left>
      <right style="thin">
        <color rgb="FF000000"/>
      </right>
      <top style="double">
        <color rgb="FFFFFFFF"/>
      </top>
      <bottom/>
      <diagonal/>
    </border>
    <border>
      <left style="thin">
        <color rgb="FF000000"/>
      </left>
      <right style="double">
        <color rgb="FFFFFFFF"/>
      </right>
      <top/>
      <bottom style="double">
        <color rgb="FFFFFFFF"/>
      </bottom>
      <diagonal/>
    </border>
    <border>
      <left style="double">
        <color rgb="FFFFFFFF"/>
      </left>
      <right style="thin">
        <color rgb="FF000000"/>
      </right>
      <top/>
      <bottom style="double">
        <color rgb="FFFFFFFF"/>
      </bottom>
      <diagonal/>
    </border>
    <border>
      <left/>
      <right style="thin">
        <color rgb="FF000000"/>
      </right>
      <top style="double">
        <color rgb="FFFFFFFF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/>
      <top style="double">
        <color rgb="FF3C78D8"/>
      </top>
      <bottom style="double">
        <color rgb="FF3C78D8"/>
      </bottom>
      <diagonal/>
    </border>
    <border>
      <left/>
      <right style="double">
        <color rgb="FF3C78D8"/>
      </right>
      <top style="double">
        <color rgb="FF3C78D8"/>
      </top>
      <bottom style="double">
        <color rgb="FF3C78D8"/>
      </bottom>
      <diagonal/>
    </border>
    <border>
      <left style="double">
        <color rgb="FFFFFFFF"/>
      </left>
      <right style="double">
        <color rgb="FFFFFFFF"/>
      </right>
      <top style="double">
        <color rgb="FFFFFFFF"/>
      </top>
      <bottom style="double">
        <color rgb="FFFFFFFF"/>
      </bottom>
      <diagonal/>
    </border>
    <border>
      <left style="thin">
        <color rgb="FF000000"/>
      </left>
      <right style="double">
        <color rgb="FFFFFFFF"/>
      </right>
      <top style="double">
        <color rgb="FFFFFFFF"/>
      </top>
      <bottom style="double">
        <color rgb="FFFFFFFF"/>
      </bottom>
      <diagonal/>
    </border>
    <border>
      <left/>
      <right style="thin">
        <color rgb="FF000000"/>
      </right>
      <top style="double">
        <color rgb="FFFFFFFF"/>
      </top>
      <bottom style="double">
        <color rgb="FFFFFFFF"/>
      </bottom>
      <diagonal/>
    </border>
    <border>
      <left style="thin">
        <color rgb="FF000000"/>
      </left>
      <right/>
      <top style="double">
        <color rgb="FFFFFFFF"/>
      </top>
      <bottom/>
      <diagonal/>
    </border>
    <border>
      <left/>
      <right style="double">
        <color rgb="FFFFFFFF"/>
      </right>
      <top style="double">
        <color rgb="FFFFFFFF"/>
      </top>
      <bottom/>
      <diagonal/>
    </border>
    <border>
      <left/>
      <right style="double">
        <color rgb="FFFFFFFF"/>
      </right>
      <top/>
      <bottom/>
      <diagonal/>
    </border>
    <border>
      <left/>
      <right style="double">
        <color rgb="FFFFFFFF"/>
      </right>
      <top/>
      <bottom style="double">
        <color rgb="FFFFFFFF"/>
      </bottom>
      <diagonal/>
    </border>
    <border>
      <left/>
      <right/>
      <top style="double">
        <color rgb="FFFFFFFF"/>
      </top>
      <bottom style="thin">
        <color rgb="FF000000"/>
      </bottom>
      <diagonal/>
    </border>
    <border>
      <left style="double">
        <color rgb="FFFFFFFF"/>
      </left>
      <right style="double">
        <color rgb="FFFFFFFF"/>
      </right>
      <top/>
      <bottom style="double">
        <color rgb="FFFFFFFF"/>
      </bottom>
      <diagonal/>
    </border>
    <border>
      <left style="thin">
        <color rgb="FF000000"/>
      </left>
      <right style="double">
        <color rgb="FFFFFFFF"/>
      </right>
      <top style="double">
        <color rgb="FFFFFFFF"/>
      </top>
      <bottom style="thin">
        <color rgb="FF000000"/>
      </bottom>
      <diagonal/>
    </border>
    <border>
      <left style="double">
        <color rgb="FFFFFFFF"/>
      </left>
      <right style="double">
        <color rgb="FFFFFFFF"/>
      </right>
      <top style="double">
        <color rgb="FFFFFFFF"/>
      </top>
      <bottom style="thin">
        <color rgb="FF000000"/>
      </bottom>
      <diagonal/>
    </border>
    <border>
      <left style="double">
        <color rgb="FFFFFFFF"/>
      </left>
      <right style="thin">
        <color rgb="FF000000"/>
      </right>
      <top style="double">
        <color rgb="FFFFFFFF"/>
      </top>
      <bottom style="thin">
        <color rgb="FF000000"/>
      </bottom>
      <diagonal/>
    </border>
    <border>
      <left/>
      <right/>
      <top/>
      <bottom style="double">
        <color rgb="FFFFFFFF"/>
      </bottom>
      <diagonal/>
    </border>
    <border>
      <left/>
      <right style="double">
        <color rgb="FFFFFFFF"/>
      </right>
      <top style="double">
        <color rgb="FFFFFFFF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7">
    <xf numFmtId="0" fontId="0" fillId="0" borderId="0" xfId="0" applyFont="1" applyAlignment="1"/>
    <xf numFmtId="0" fontId="2" fillId="2" borderId="5" xfId="0" applyFont="1" applyFill="1" applyBorder="1" applyAlignment="1">
      <alignment horizontal="center" vertical="center"/>
    </xf>
    <xf numFmtId="164" fontId="4" fillId="3" borderId="6" xfId="0" applyNumberFormat="1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7" fillId="0" borderId="15" xfId="0" applyFont="1" applyBorder="1"/>
    <xf numFmtId="0" fontId="7" fillId="0" borderId="16" xfId="0" applyFont="1" applyBorder="1"/>
    <xf numFmtId="0" fontId="4" fillId="0" borderId="22" xfId="0" applyFont="1" applyBorder="1" applyAlignment="1">
      <alignment horizontal="center" vertical="center"/>
    </xf>
    <xf numFmtId="166" fontId="4" fillId="3" borderId="6" xfId="0" applyNumberFormat="1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9" fillId="6" borderId="0" xfId="0" applyFont="1" applyFill="1" applyAlignment="1">
      <alignment horizontal="center" vertical="center" wrapText="1"/>
    </xf>
    <xf numFmtId="167" fontId="9" fillId="6" borderId="0" xfId="0" applyNumberFormat="1" applyFont="1" applyFill="1" applyAlignment="1">
      <alignment horizontal="center" vertical="center" wrapText="1"/>
    </xf>
    <xf numFmtId="0" fontId="10" fillId="6" borderId="12" xfId="0" applyFont="1" applyFill="1" applyBorder="1" applyAlignment="1">
      <alignment horizontal="center" vertical="center"/>
    </xf>
    <xf numFmtId="0" fontId="10" fillId="6" borderId="30" xfId="0" applyFont="1" applyFill="1" applyBorder="1" applyAlignment="1">
      <alignment horizontal="center" vertical="center"/>
    </xf>
    <xf numFmtId="0" fontId="10" fillId="6" borderId="0" xfId="0" applyFont="1" applyFill="1" applyAlignment="1">
      <alignment horizontal="center" vertical="center"/>
    </xf>
    <xf numFmtId="167" fontId="10" fillId="6" borderId="0" xfId="0" applyNumberFormat="1" applyFont="1" applyFill="1" applyAlignment="1">
      <alignment horizontal="center" vertical="center" wrapText="1"/>
    </xf>
    <xf numFmtId="0" fontId="10" fillId="6" borderId="31" xfId="0" applyFont="1" applyFill="1" applyBorder="1" applyAlignment="1">
      <alignment horizontal="center" vertical="center"/>
    </xf>
    <xf numFmtId="0" fontId="10" fillId="6" borderId="32" xfId="0" applyFont="1" applyFill="1" applyBorder="1" applyAlignment="1">
      <alignment horizontal="center" vertical="center"/>
    </xf>
    <xf numFmtId="0" fontId="10" fillId="6" borderId="0" xfId="0" applyFont="1" applyFill="1" applyAlignment="1">
      <alignment horizontal="center" vertical="center" wrapText="1"/>
    </xf>
    <xf numFmtId="0" fontId="10" fillId="6" borderId="0" xfId="0" applyFont="1" applyFill="1" applyAlignment="1">
      <alignment horizontal="center" vertical="center"/>
    </xf>
    <xf numFmtId="0" fontId="10" fillId="0" borderId="0" xfId="0" applyFont="1" applyAlignment="1"/>
    <xf numFmtId="0" fontId="9" fillId="0" borderId="0" xfId="0" applyFont="1" applyAlignment="1">
      <alignment horizontal="center"/>
    </xf>
    <xf numFmtId="0" fontId="10" fillId="7" borderId="0" xfId="0" applyFont="1" applyFill="1" applyAlignment="1"/>
    <xf numFmtId="0" fontId="10" fillId="8" borderId="0" xfId="0" applyFont="1" applyFill="1" applyAlignment="1">
      <alignment horizontal="left" vertical="center" wrapText="1"/>
    </xf>
    <xf numFmtId="0" fontId="10" fillId="8" borderId="0" xfId="0" applyFont="1" applyFill="1" applyAlignment="1">
      <alignment horizontal="left" vertical="center"/>
    </xf>
    <xf numFmtId="0" fontId="11" fillId="0" borderId="0" xfId="0" applyFont="1" applyAlignment="1">
      <alignment horizontal="center"/>
    </xf>
    <xf numFmtId="0" fontId="12" fillId="0" borderId="0" xfId="0" applyFont="1" applyAlignment="1"/>
    <xf numFmtId="0" fontId="9" fillId="6" borderId="0" xfId="0" applyFont="1" applyFill="1" applyAlignment="1">
      <alignment vertical="center" wrapText="1"/>
    </xf>
    <xf numFmtId="0" fontId="10" fillId="6" borderId="0" xfId="0" applyFont="1" applyFill="1" applyAlignment="1">
      <alignment vertical="center" wrapText="1"/>
    </xf>
    <xf numFmtId="0" fontId="10" fillId="6" borderId="0" xfId="0" applyFont="1" applyFill="1" applyAlignment="1">
      <alignment vertical="center"/>
    </xf>
    <xf numFmtId="0" fontId="10" fillId="8" borderId="0" xfId="0" applyFont="1" applyFill="1" applyAlignment="1">
      <alignment vertical="center" wrapText="1"/>
    </xf>
    <xf numFmtId="0" fontId="10" fillId="8" borderId="0" xfId="0" applyFont="1" applyFill="1" applyAlignment="1">
      <alignment vertical="center"/>
    </xf>
    <xf numFmtId="0" fontId="5" fillId="0" borderId="0" xfId="1" applyFont="1" applyAlignment="1"/>
    <xf numFmtId="0" fontId="4" fillId="0" borderId="28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7" fillId="0" borderId="36" xfId="0" applyFont="1" applyBorder="1"/>
    <xf numFmtId="0" fontId="7" fillId="0" borderId="37" xfId="0" applyFont="1" applyBorder="1"/>
    <xf numFmtId="0" fontId="5" fillId="0" borderId="0" xfId="1" applyFont="1" applyBorder="1" applyAlignment="1"/>
    <xf numFmtId="0" fontId="7" fillId="0" borderId="0" xfId="0" applyFont="1" applyBorder="1"/>
    <xf numFmtId="0" fontId="13" fillId="11" borderId="38" xfId="0" applyFont="1" applyFill="1" applyBorder="1" applyAlignment="1"/>
    <xf numFmtId="4" fontId="13" fillId="11" borderId="38" xfId="0" applyNumberFormat="1" applyFont="1" applyFill="1" applyBorder="1" applyAlignment="1">
      <alignment horizontal="center"/>
    </xf>
    <xf numFmtId="4" fontId="0" fillId="0" borderId="0" xfId="0" applyNumberFormat="1" applyFont="1" applyAlignment="1"/>
    <xf numFmtId="9" fontId="13" fillId="11" borderId="38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165" fontId="5" fillId="9" borderId="9" xfId="0" applyNumberFormat="1" applyFont="1" applyFill="1" applyBorder="1" applyAlignment="1">
      <alignment horizontal="center" vertical="center"/>
    </xf>
    <xf numFmtId="0" fontId="3" fillId="10" borderId="10" xfId="0" applyFont="1" applyFill="1" applyBorder="1"/>
    <xf numFmtId="0" fontId="4" fillId="0" borderId="3" xfId="0" applyFont="1" applyBorder="1" applyAlignment="1">
      <alignment horizontal="center" vertical="center"/>
    </xf>
    <xf numFmtId="0" fontId="6" fillId="4" borderId="38" xfId="0" applyFont="1" applyFill="1" applyBorder="1" applyAlignment="1">
      <alignment horizontal="center" vertical="center"/>
    </xf>
    <xf numFmtId="0" fontId="3" fillId="0" borderId="38" xfId="0" applyFont="1" applyBorder="1"/>
    <xf numFmtId="165" fontId="6" fillId="5" borderId="38" xfId="0" applyNumberFormat="1" applyFont="1" applyFill="1" applyBorder="1" applyAlignment="1">
      <alignment horizontal="center" vertical="center"/>
    </xf>
    <xf numFmtId="0" fontId="9" fillId="0" borderId="0" xfId="1" applyFont="1" applyBorder="1" applyAlignment="1">
      <alignment horizontal="center"/>
    </xf>
    <xf numFmtId="0" fontId="6" fillId="4" borderId="25" xfId="0" applyFont="1" applyFill="1" applyBorder="1" applyAlignment="1">
      <alignment horizontal="center" vertical="center"/>
    </xf>
    <xf numFmtId="0" fontId="3" fillId="0" borderId="26" xfId="0" applyFont="1" applyBorder="1"/>
    <xf numFmtId="0" fontId="3" fillId="0" borderId="27" xfId="0" applyFont="1" applyBorder="1"/>
    <xf numFmtId="0" fontId="3" fillId="0" borderId="34" xfId="0" applyFont="1" applyBorder="1"/>
    <xf numFmtId="0" fontId="3" fillId="0" borderId="28" xfId="0" applyFont="1" applyBorder="1"/>
    <xf numFmtId="0" fontId="4" fillId="2" borderId="29" xfId="0" applyFont="1" applyFill="1" applyBorder="1" applyAlignment="1">
      <alignment horizontal="center" vertical="center"/>
    </xf>
    <xf numFmtId="0" fontId="3" fillId="0" borderId="29" xfId="0" applyFont="1" applyBorder="1"/>
    <xf numFmtId="0" fontId="3" fillId="0" borderId="14" xfId="0" applyFont="1" applyBorder="1"/>
    <xf numFmtId="0" fontId="3" fillId="0" borderId="17" xfId="0" applyFont="1" applyBorder="1"/>
    <xf numFmtId="0" fontId="8" fillId="0" borderId="16" xfId="0" applyFont="1" applyBorder="1" applyAlignment="1">
      <alignment horizontal="center" vertical="center"/>
    </xf>
    <xf numFmtId="0" fontId="3" fillId="0" borderId="18" xfId="0" applyFont="1" applyBorder="1"/>
    <xf numFmtId="0" fontId="3" fillId="0" borderId="19" xfId="0" applyFont="1" applyBorder="1"/>
    <xf numFmtId="0" fontId="2" fillId="2" borderId="20" xfId="0" applyFont="1" applyFill="1" applyBorder="1" applyAlignment="1">
      <alignment horizontal="center" vertical="center"/>
    </xf>
    <xf numFmtId="0" fontId="3" fillId="0" borderId="21" xfId="0" applyFont="1" applyBorder="1"/>
    <xf numFmtId="165" fontId="6" fillId="5" borderId="11" xfId="0" applyNumberFormat="1" applyFont="1" applyFill="1" applyBorder="1" applyAlignment="1">
      <alignment horizontal="center" vertical="center"/>
    </xf>
    <xf numFmtId="0" fontId="3" fillId="0" borderId="8" xfId="0" applyFont="1" applyBorder="1"/>
    <xf numFmtId="0" fontId="3" fillId="0" borderId="13" xfId="0" applyFont="1" applyBorder="1"/>
  </cellXfs>
  <cellStyles count="2">
    <cellStyle name="Normal" xfId="0" builtinId="0"/>
    <cellStyle name="Normal 2" xfId="1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14"/>
  <sheetViews>
    <sheetView showGridLines="0" tabSelected="1" workbookViewId="0">
      <selection activeCell="E10" sqref="E10"/>
    </sheetView>
  </sheetViews>
  <sheetFormatPr defaultColWidth="12.6640625" defaultRowHeight="15.75" customHeight="1" x14ac:dyDescent="0.25"/>
  <cols>
    <col min="1" max="1" width="41.44140625" bestFit="1" customWidth="1"/>
    <col min="2" max="2" width="41.109375" customWidth="1"/>
  </cols>
  <sheetData>
    <row r="1" spans="1:2" ht="13.2" x14ac:dyDescent="0.25">
      <c r="A1" s="49" t="s">
        <v>0</v>
      </c>
      <c r="B1" s="50"/>
    </row>
    <row r="2" spans="1:2" ht="13.2" x14ac:dyDescent="0.25">
      <c r="A2" s="51"/>
      <c r="B2" s="52"/>
    </row>
    <row r="3" spans="1:2" ht="17.399999999999999" x14ac:dyDescent="0.25">
      <c r="A3" s="1" t="s">
        <v>1</v>
      </c>
      <c r="B3" s="2">
        <v>1</v>
      </c>
    </row>
    <row r="4" spans="1:2" ht="17.399999999999999" x14ac:dyDescent="0.25">
      <c r="A4" s="3"/>
      <c r="B4" s="4"/>
    </row>
    <row r="5" spans="1:2" ht="17.399999999999999" x14ac:dyDescent="0.25">
      <c r="A5" s="53" t="s">
        <v>128</v>
      </c>
      <c r="B5" s="54"/>
    </row>
    <row r="6" spans="1:2" ht="13.8" thickTop="1" x14ac:dyDescent="0.25">
      <c r="A6" s="55"/>
      <c r="B6" s="52"/>
    </row>
    <row r="7" spans="1:2" ht="13.2" x14ac:dyDescent="0.25">
      <c r="A7" s="51"/>
      <c r="B7" s="52"/>
    </row>
    <row r="8" spans="1:2" ht="13.2" x14ac:dyDescent="0.25">
      <c r="A8" s="56" t="s">
        <v>3</v>
      </c>
      <c r="B8" s="58">
        <f>VLOOKUP(A5,CADASTRO_PRODUTO!C:E,3,FALSE)</f>
        <v>1.9352941176470588</v>
      </c>
    </row>
    <row r="9" spans="1:2" ht="13.2" x14ac:dyDescent="0.25">
      <c r="A9" s="57"/>
      <c r="B9" s="57"/>
    </row>
    <row r="10" spans="1:2" ht="13.2" x14ac:dyDescent="0.25">
      <c r="A10" s="57"/>
      <c r="B10" s="57"/>
    </row>
    <row r="11" spans="1:2" ht="21" hidden="1" x14ac:dyDescent="0.4">
      <c r="A11" s="45" t="s">
        <v>224</v>
      </c>
      <c r="B11" s="46">
        <f>VLOOKUP(A5,CADASTRO_PRODUTO!C3:D339,2,FALSE)</f>
        <v>2.35</v>
      </c>
    </row>
    <row r="12" spans="1:2" ht="13.95" hidden="1" customHeight="1" x14ac:dyDescent="0.25"/>
    <row r="13" spans="1:2" ht="15.75" hidden="1" customHeight="1" x14ac:dyDescent="0.25">
      <c r="B13" s="47"/>
    </row>
    <row r="14" spans="1:2" ht="21" x14ac:dyDescent="0.4">
      <c r="A14" s="45" t="s">
        <v>224</v>
      </c>
      <c r="B14" s="48">
        <f>((B11*100/8.5)%)</f>
        <v>0.27647058823529413</v>
      </c>
    </row>
  </sheetData>
  <mergeCells count="5">
    <mergeCell ref="A1:B2"/>
    <mergeCell ref="A5:B5"/>
    <mergeCell ref="A6:B7"/>
    <mergeCell ref="A8:A10"/>
    <mergeCell ref="B8:B10"/>
  </mergeCells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CADASTRO_PRODUTO!$C2:$C506</xm:f>
          </x14:formula1>
          <xm:sqref>A5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13"/>
  <sheetViews>
    <sheetView workbookViewId="0">
      <selection activeCell="F3" sqref="F3"/>
    </sheetView>
  </sheetViews>
  <sheetFormatPr defaultColWidth="12.6640625" defaultRowHeight="15.75" customHeight="1" x14ac:dyDescent="0.25"/>
  <cols>
    <col min="1" max="2" width="12" customWidth="1"/>
    <col min="3" max="3" width="16.33203125" customWidth="1"/>
    <col min="4" max="4" width="40.44140625" customWidth="1"/>
    <col min="5" max="5" width="4.44140625" customWidth="1"/>
    <col min="6" max="6" width="19.44140625" bestFit="1" customWidth="1"/>
  </cols>
  <sheetData>
    <row r="1" spans="1:6" ht="17.399999999999999" x14ac:dyDescent="0.25">
      <c r="A1" s="5"/>
      <c r="B1" s="5"/>
      <c r="C1" s="6"/>
      <c r="D1" s="49" t="s">
        <v>0</v>
      </c>
      <c r="E1" s="68"/>
      <c r="F1" s="50"/>
    </row>
    <row r="2" spans="1:6" ht="17.399999999999999" x14ac:dyDescent="0.25">
      <c r="A2" s="69" t="s">
        <v>4</v>
      </c>
      <c r="B2" s="70"/>
      <c r="C2" s="71"/>
      <c r="D2" s="72" t="s">
        <v>1</v>
      </c>
      <c r="E2" s="73"/>
      <c r="F2" s="2">
        <v>1000</v>
      </c>
    </row>
    <row r="3" spans="1:6" ht="17.399999999999999" x14ac:dyDescent="0.25">
      <c r="A3" s="5"/>
      <c r="B3" s="5"/>
      <c r="C3" s="6"/>
      <c r="D3" s="3"/>
      <c r="E3" s="7"/>
      <c r="F3" s="4"/>
    </row>
    <row r="4" spans="1:6" ht="17.399999999999999" x14ac:dyDescent="0.25">
      <c r="A4" s="69" t="s">
        <v>5</v>
      </c>
      <c r="B4" s="70"/>
      <c r="C4" s="71"/>
      <c r="D4" s="72" t="s">
        <v>6</v>
      </c>
      <c r="E4" s="73"/>
      <c r="F4" s="8">
        <v>2.5</v>
      </c>
    </row>
    <row r="5" spans="1:6" ht="17.399999999999999" x14ac:dyDescent="0.25">
      <c r="A5" s="5"/>
      <c r="B5" s="5"/>
      <c r="C5" s="6"/>
      <c r="D5" s="9"/>
      <c r="E5" s="7"/>
      <c r="F5" s="10"/>
    </row>
    <row r="6" spans="1:6" ht="17.399999999999999" x14ac:dyDescent="0.25">
      <c r="A6" s="69" t="s">
        <v>7</v>
      </c>
      <c r="B6" s="70"/>
      <c r="C6" s="71"/>
      <c r="D6" s="11"/>
      <c r="E6" s="7"/>
      <c r="F6" s="12"/>
    </row>
    <row r="7" spans="1:6" ht="13.8" thickTop="1" x14ac:dyDescent="0.25">
      <c r="A7" s="5"/>
      <c r="B7" s="5"/>
      <c r="C7" s="6"/>
      <c r="D7" s="60" t="s">
        <v>3</v>
      </c>
      <c r="E7" s="61"/>
      <c r="F7" s="74">
        <f>F2*E11/E12*F4</f>
        <v>2058.8235294117649</v>
      </c>
    </row>
    <row r="8" spans="1:6" ht="17.399999999999999" x14ac:dyDescent="0.3">
      <c r="A8" s="38"/>
      <c r="B8" s="41"/>
      <c r="C8" s="42"/>
      <c r="D8" s="51"/>
      <c r="E8" s="62"/>
      <c r="F8" s="75"/>
    </row>
    <row r="9" spans="1:6" ht="16.2" thickBot="1" x14ac:dyDescent="0.35">
      <c r="A9" s="59" t="s">
        <v>223</v>
      </c>
      <c r="B9" s="59"/>
      <c r="C9" s="59"/>
      <c r="D9" s="63"/>
      <c r="E9" s="64"/>
      <c r="F9" s="76"/>
    </row>
    <row r="10" spans="1:6" ht="13.95" hidden="1" customHeight="1" x14ac:dyDescent="0.3">
      <c r="A10" s="43"/>
      <c r="B10" s="44"/>
      <c r="C10" s="44"/>
      <c r="D10" s="65"/>
      <c r="E10" s="66"/>
      <c r="F10" s="67"/>
    </row>
    <row r="11" spans="1:6" ht="18.600000000000001" hidden="1" thickTop="1" thickBot="1" x14ac:dyDescent="0.35">
      <c r="A11" s="43" t="s">
        <v>5</v>
      </c>
      <c r="B11" s="44"/>
      <c r="C11" s="44"/>
      <c r="D11" s="39" t="s">
        <v>8</v>
      </c>
      <c r="E11" s="13">
        <v>7</v>
      </c>
      <c r="F11" s="10"/>
    </row>
    <row r="12" spans="1:6" ht="18" hidden="1" thickTop="1" x14ac:dyDescent="0.3">
      <c r="A12" s="43"/>
      <c r="B12" s="44"/>
      <c r="C12" s="44"/>
      <c r="D12" s="40" t="s">
        <v>9</v>
      </c>
      <c r="E12" s="14">
        <v>8.5</v>
      </c>
      <c r="F12" s="15"/>
    </row>
    <row r="13" spans="1:6" ht="15.75" customHeight="1" thickTop="1" x14ac:dyDescent="0.25"/>
  </sheetData>
  <mergeCells count="10">
    <mergeCell ref="A9:C9"/>
    <mergeCell ref="D7:E9"/>
    <mergeCell ref="D10:F10"/>
    <mergeCell ref="D1:F1"/>
    <mergeCell ref="A2:C2"/>
    <mergeCell ref="D2:E2"/>
    <mergeCell ref="A4:C4"/>
    <mergeCell ref="D4:E4"/>
    <mergeCell ref="A6:C6"/>
    <mergeCell ref="F7:F9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506"/>
  <sheetViews>
    <sheetView zoomScaleNormal="100" workbookViewId="0">
      <pane ySplit="1" topLeftCell="A292" activePane="bottomLeft" state="frozen"/>
      <selection pane="bottomLeft" activeCell="A322" sqref="A322:XFD322"/>
    </sheetView>
  </sheetViews>
  <sheetFormatPr defaultColWidth="12.6640625" defaultRowHeight="15.75" customHeight="1" x14ac:dyDescent="0.25"/>
  <cols>
    <col min="1" max="1" width="24.44140625" bestFit="1" customWidth="1"/>
    <col min="2" max="2" width="4.6640625" bestFit="1" customWidth="1"/>
    <col min="3" max="3" width="47.88671875" customWidth="1"/>
    <col min="4" max="4" width="9.44140625" bestFit="1" customWidth="1"/>
    <col min="5" max="5" width="15.6640625" bestFit="1" customWidth="1"/>
    <col min="7" max="7" width="55.44140625" style="26" customWidth="1"/>
  </cols>
  <sheetData>
    <row r="1" spans="1:7" ht="15.75" customHeight="1" x14ac:dyDescent="0.25">
      <c r="A1" s="16"/>
      <c r="B1" s="16"/>
      <c r="C1" s="34" t="s">
        <v>91</v>
      </c>
      <c r="D1" s="25">
        <v>1.69</v>
      </c>
      <c r="E1" s="21">
        <f>IF(D1="","",SUM(BASE_CALCULO!$B$3*$B$2/$B$3*D1))</f>
        <v>1.3917647058823528</v>
      </c>
    </row>
    <row r="2" spans="1:7" ht="15.75" customHeight="1" x14ac:dyDescent="0.3">
      <c r="A2" s="18" t="s">
        <v>8</v>
      </c>
      <c r="B2" s="19">
        <v>7</v>
      </c>
      <c r="C2" s="28" t="s">
        <v>91</v>
      </c>
      <c r="D2" s="20">
        <v>0.91</v>
      </c>
      <c r="E2" s="21">
        <f>IF(D2="","",SUM(BASE_CALCULO!$B$3*$B$2/$B$3*D2))</f>
        <v>0.74941176470588233</v>
      </c>
      <c r="G2" s="27"/>
    </row>
    <row r="3" spans="1:7" ht="15.75" customHeight="1" x14ac:dyDescent="0.25">
      <c r="A3" s="22" t="s">
        <v>9</v>
      </c>
      <c r="B3" s="23">
        <v>8.5</v>
      </c>
      <c r="C3" s="34" t="s">
        <v>94</v>
      </c>
      <c r="D3" s="25">
        <v>3.25</v>
      </c>
      <c r="E3" s="21">
        <f>IF(D3="","",SUM(BASE_CALCULO!$B$3*$B$2/$B$3*D3))</f>
        <v>2.6764705882352939</v>
      </c>
      <c r="G3" s="28"/>
    </row>
    <row r="4" spans="1:7" ht="15.75" customHeight="1" x14ac:dyDescent="0.25">
      <c r="A4" s="24"/>
      <c r="B4" s="24"/>
      <c r="C4" s="28" t="s">
        <v>94</v>
      </c>
      <c r="D4" s="25">
        <v>1.8</v>
      </c>
      <c r="E4" s="21">
        <f>IF(D4="","",SUM(BASE_CALCULO!$B$3*$B$2/$B$3*D4))</f>
        <v>1.4823529411764707</v>
      </c>
      <c r="G4" s="28"/>
    </row>
    <row r="5" spans="1:7" ht="15.75" customHeight="1" x14ac:dyDescent="0.25">
      <c r="A5" s="24"/>
      <c r="B5" s="24"/>
      <c r="C5" s="34" t="s">
        <v>92</v>
      </c>
      <c r="D5" s="25">
        <v>1.93</v>
      </c>
      <c r="E5" s="21">
        <f>IF(D5="","",SUM(BASE_CALCULO!$B$3*$B$2/$B$3*D5))</f>
        <v>1.5894117647058823</v>
      </c>
      <c r="G5" s="28"/>
    </row>
    <row r="6" spans="1:7" ht="15" x14ac:dyDescent="0.25">
      <c r="A6" s="24"/>
      <c r="B6" s="24"/>
      <c r="C6" s="28" t="s">
        <v>92</v>
      </c>
      <c r="D6" s="25">
        <v>1.6</v>
      </c>
      <c r="E6" s="21">
        <f>IF(D6="","",SUM(BASE_CALCULO!$B$3*$B$2/$B$3*D6))</f>
        <v>1.3176470588235294</v>
      </c>
      <c r="G6" s="28"/>
    </row>
    <row r="7" spans="1:7" ht="30" x14ac:dyDescent="0.25">
      <c r="A7" s="24"/>
      <c r="B7" s="24"/>
      <c r="C7" s="34" t="s">
        <v>95</v>
      </c>
      <c r="D7" s="25">
        <v>4.25</v>
      </c>
      <c r="E7" s="21">
        <f>IF(D7="","",SUM(BASE_CALCULO!$B$3*$B$2/$B$3*D7))</f>
        <v>3.5</v>
      </c>
      <c r="G7" s="28"/>
    </row>
    <row r="8" spans="1:7" ht="15.75" customHeight="1" x14ac:dyDescent="0.25">
      <c r="A8" s="24"/>
      <c r="B8" s="24"/>
      <c r="C8" s="28" t="s">
        <v>95</v>
      </c>
      <c r="D8" s="25">
        <v>2.4500000000000002</v>
      </c>
      <c r="E8" s="21">
        <f>IF(D8="","",SUM(BASE_CALCULO!$B$3*$B$2/$B$3*D8))</f>
        <v>2.0176470588235293</v>
      </c>
      <c r="G8" s="28"/>
    </row>
    <row r="9" spans="1:7" ht="15.75" customHeight="1" x14ac:dyDescent="0.25">
      <c r="A9" s="24"/>
      <c r="B9" s="24"/>
      <c r="C9" s="34" t="s">
        <v>93</v>
      </c>
      <c r="D9" s="25">
        <v>2.35</v>
      </c>
      <c r="E9" s="21">
        <f>IF(D9="","",SUM(BASE_CALCULO!$B$3*$B$2/$B$3*D9))</f>
        <v>1.9352941176470588</v>
      </c>
      <c r="G9" s="28"/>
    </row>
    <row r="10" spans="1:7" ht="15.75" customHeight="1" x14ac:dyDescent="0.25">
      <c r="A10" s="24"/>
      <c r="B10" s="24"/>
      <c r="C10" s="28" t="s">
        <v>93</v>
      </c>
      <c r="D10" s="25">
        <v>1.8</v>
      </c>
      <c r="E10" s="21">
        <f>IF(D10="","",SUM(BASE_CALCULO!$B$3*$B$2/$B$3*D10))</f>
        <v>1.4823529411764707</v>
      </c>
      <c r="G10" s="28"/>
    </row>
    <row r="11" spans="1:7" ht="15.75" customHeight="1" x14ac:dyDescent="0.25">
      <c r="A11" s="24"/>
      <c r="B11" s="24"/>
      <c r="C11" s="34" t="s">
        <v>98</v>
      </c>
      <c r="D11" s="25">
        <v>2.72</v>
      </c>
      <c r="E11" s="21">
        <f>IF(D11="","",SUM(BASE_CALCULO!$B$3*$B$2/$B$3*D11))</f>
        <v>2.2400000000000002</v>
      </c>
      <c r="G11" s="28"/>
    </row>
    <row r="12" spans="1:7" ht="15.75" customHeight="1" x14ac:dyDescent="0.25">
      <c r="A12" s="24"/>
      <c r="B12" s="24"/>
      <c r="C12" s="28" t="s">
        <v>98</v>
      </c>
      <c r="D12" s="25">
        <v>2.72</v>
      </c>
      <c r="E12" s="21">
        <f>IF(D12="","",SUM(BASE_CALCULO!$B$3*$B$2/$B$3*D12))</f>
        <v>2.2400000000000002</v>
      </c>
      <c r="G12" s="28"/>
    </row>
    <row r="13" spans="1:7" ht="15.75" customHeight="1" x14ac:dyDescent="0.25">
      <c r="A13" s="24"/>
      <c r="B13" s="24"/>
      <c r="C13" s="34" t="s">
        <v>99</v>
      </c>
      <c r="D13" s="25">
        <v>2.93</v>
      </c>
      <c r="E13" s="21">
        <f>IF(D13="","",SUM(BASE_CALCULO!$B$3*$B$2/$B$3*D13))</f>
        <v>2.4129411764705884</v>
      </c>
      <c r="G13" s="28"/>
    </row>
    <row r="14" spans="1:7" ht="15.75" customHeight="1" x14ac:dyDescent="0.25">
      <c r="A14" s="24"/>
      <c r="B14" s="24"/>
      <c r="C14" s="28" t="s">
        <v>99</v>
      </c>
      <c r="D14" s="25">
        <v>2.93</v>
      </c>
      <c r="E14" s="21">
        <f>IF(D14="","",SUM(BASE_CALCULO!$B$3*$B$2/$B$3*D14))</f>
        <v>2.4129411764705884</v>
      </c>
      <c r="G14" s="28"/>
    </row>
    <row r="15" spans="1:7" ht="15.75" customHeight="1" x14ac:dyDescent="0.25">
      <c r="A15" s="24"/>
      <c r="B15" s="24"/>
      <c r="C15" s="34" t="s">
        <v>100</v>
      </c>
      <c r="D15" s="25">
        <v>3.65</v>
      </c>
      <c r="E15" s="21">
        <f>IF(D15="","",SUM(BASE_CALCULO!$B$3*$B$2/$B$3*D15))</f>
        <v>3.0058823529411764</v>
      </c>
      <c r="G15" s="28"/>
    </row>
    <row r="16" spans="1:7" ht="15.75" customHeight="1" x14ac:dyDescent="0.25">
      <c r="A16" s="24"/>
      <c r="B16" s="24"/>
      <c r="C16" s="28" t="s">
        <v>100</v>
      </c>
      <c r="D16" s="25">
        <v>3.65</v>
      </c>
      <c r="E16" s="21">
        <f>IF(D16="","",SUM(BASE_CALCULO!$B$3*$B$2/$B$3*D16))</f>
        <v>3.0058823529411764</v>
      </c>
      <c r="G16" s="28"/>
    </row>
    <row r="17" spans="1:7" ht="15.75" customHeight="1" x14ac:dyDescent="0.25">
      <c r="A17" s="24"/>
      <c r="B17" s="24"/>
      <c r="C17" s="34" t="s">
        <v>101</v>
      </c>
      <c r="D17" s="25">
        <v>4.3</v>
      </c>
      <c r="E17" s="21">
        <f>IF(D17="","",SUM(BASE_CALCULO!$B$3*$B$2/$B$3*D17))</f>
        <v>3.5411764705882351</v>
      </c>
      <c r="G17" s="28"/>
    </row>
    <row r="18" spans="1:7" ht="15.75" customHeight="1" x14ac:dyDescent="0.25">
      <c r="A18" s="24"/>
      <c r="B18" s="24"/>
      <c r="C18" s="28" t="s">
        <v>101</v>
      </c>
      <c r="D18" s="25">
        <v>4.4000000000000004</v>
      </c>
      <c r="E18" s="21">
        <f>IF(D18="","",SUM(BASE_CALCULO!$B$3*$B$2/$B$3*D18))</f>
        <v>3.6235294117647059</v>
      </c>
      <c r="G18" s="28"/>
    </row>
    <row r="19" spans="1:7" ht="15.75" customHeight="1" x14ac:dyDescent="0.25">
      <c r="A19" s="24"/>
      <c r="B19" s="24"/>
      <c r="C19" s="34" t="s">
        <v>96</v>
      </c>
      <c r="D19" s="25">
        <v>1.71</v>
      </c>
      <c r="E19" s="21">
        <f>IF(D19="","",SUM(BASE_CALCULO!$B$3*$B$2/$B$3*D19))</f>
        <v>1.408235294117647</v>
      </c>
      <c r="G19" s="28"/>
    </row>
    <row r="20" spans="1:7" ht="15.75" customHeight="1" x14ac:dyDescent="0.25">
      <c r="A20" s="24"/>
      <c r="B20" s="24"/>
      <c r="C20" s="28" t="s">
        <v>96</v>
      </c>
      <c r="D20" s="25">
        <v>1.1399999999999999</v>
      </c>
      <c r="E20" s="21">
        <f>IF(D20="","",SUM(BASE_CALCULO!$B$3*$B$2/$B$3*D20))</f>
        <v>0.93882352941176461</v>
      </c>
      <c r="G20" s="28"/>
    </row>
    <row r="21" spans="1:7" ht="15.75" customHeight="1" x14ac:dyDescent="0.25">
      <c r="A21" s="24"/>
      <c r="B21" s="24"/>
      <c r="C21" s="34" t="s">
        <v>97</v>
      </c>
      <c r="D21" s="25">
        <v>1.75</v>
      </c>
      <c r="E21" s="21">
        <f>IF(D21="","",SUM(BASE_CALCULO!$B$3*$B$2/$B$3*D21))</f>
        <v>1.4411764705882353</v>
      </c>
      <c r="G21" s="28"/>
    </row>
    <row r="22" spans="1:7" ht="15.75" customHeight="1" x14ac:dyDescent="0.25">
      <c r="A22" s="24"/>
      <c r="B22" s="24"/>
      <c r="C22" s="28" t="s">
        <v>97</v>
      </c>
      <c r="D22" s="25">
        <v>1.75</v>
      </c>
      <c r="E22" s="21">
        <f>IF(D22="","",SUM(BASE_CALCULO!$B$3*$B$2/$B$3*D22))</f>
        <v>1.4411764705882353</v>
      </c>
      <c r="G22" s="28"/>
    </row>
    <row r="23" spans="1:7" ht="15.75" customHeight="1" x14ac:dyDescent="0.25">
      <c r="A23" s="24"/>
      <c r="B23" s="24"/>
      <c r="C23" s="35" t="s">
        <v>169</v>
      </c>
      <c r="D23" s="25">
        <v>2.4500000000000002</v>
      </c>
      <c r="E23" s="21">
        <f>IF(D23="","",SUM(BASE_CALCULO!$B$3*$B$2/$B$3*D23))</f>
        <v>2.0176470588235293</v>
      </c>
      <c r="G23" s="28"/>
    </row>
    <row r="24" spans="1:7" ht="15" x14ac:dyDescent="0.25">
      <c r="A24" s="24"/>
      <c r="B24" s="24"/>
      <c r="C24" s="37" t="s">
        <v>169</v>
      </c>
      <c r="D24" s="25">
        <v>2.4500000000000002</v>
      </c>
      <c r="E24" s="21">
        <f>IF(D24="","",SUM(BASE_CALCULO!$B$3*$B$2/$B$3*D24))</f>
        <v>2.0176470588235293</v>
      </c>
      <c r="G24" s="28"/>
    </row>
    <row r="25" spans="1:7" ht="15" x14ac:dyDescent="0.25">
      <c r="A25" s="24"/>
      <c r="B25" s="24"/>
      <c r="C25" s="35" t="s">
        <v>2</v>
      </c>
      <c r="D25" s="25">
        <v>1.62</v>
      </c>
      <c r="E25" s="21">
        <f>IF(D25="","",SUM(BASE_CALCULO!$B$3*$B$2/$B$3*D25))</f>
        <v>1.3341176470588236</v>
      </c>
      <c r="G25" s="28"/>
    </row>
    <row r="26" spans="1:7" ht="15" x14ac:dyDescent="0.25">
      <c r="A26" s="24"/>
      <c r="B26" s="24"/>
      <c r="C26" s="34" t="s">
        <v>12</v>
      </c>
      <c r="D26" s="24">
        <v>2.4900000000000002</v>
      </c>
      <c r="E26" s="21">
        <f>IF(D26="","",SUM(BASE_CALCULO!$B$3*$B$2/$B$3*D26))</f>
        <v>2.0505882352941178</v>
      </c>
      <c r="G26" s="28"/>
    </row>
    <row r="27" spans="1:7" ht="15" x14ac:dyDescent="0.25">
      <c r="A27" s="24"/>
      <c r="B27" s="24"/>
      <c r="C27" s="34" t="s">
        <v>13</v>
      </c>
      <c r="D27" s="24">
        <v>1.5</v>
      </c>
      <c r="E27" s="21">
        <f>IF(D27="","",SUM(BASE_CALCULO!$B$3*$B$2/$B$3*D27))</f>
        <v>1.2352941176470589</v>
      </c>
      <c r="G27" s="28"/>
    </row>
    <row r="28" spans="1:7" ht="15" x14ac:dyDescent="0.25">
      <c r="A28" s="24"/>
      <c r="B28" s="24"/>
      <c r="C28" s="34" t="s">
        <v>14</v>
      </c>
      <c r="D28" s="24">
        <v>2.15</v>
      </c>
      <c r="E28" s="21">
        <f>IF(D28="","",SUM(BASE_CALCULO!$B$3*$B$2/$B$3*D28))</f>
        <v>1.7705882352941176</v>
      </c>
      <c r="G28" s="28"/>
    </row>
    <row r="29" spans="1:7" ht="15" x14ac:dyDescent="0.25">
      <c r="A29" s="24"/>
      <c r="B29" s="24"/>
      <c r="C29" s="34" t="s">
        <v>15</v>
      </c>
      <c r="D29" s="24">
        <v>2.63</v>
      </c>
      <c r="E29" s="21">
        <f>IF(D29="","",SUM(BASE_CALCULO!$B$3*$B$2/$B$3*D29))</f>
        <v>2.1658823529411761</v>
      </c>
      <c r="G29" s="28"/>
    </row>
    <row r="30" spans="1:7" ht="15" x14ac:dyDescent="0.25">
      <c r="A30" s="24"/>
      <c r="B30" s="24"/>
      <c r="C30" s="34" t="s">
        <v>16</v>
      </c>
      <c r="D30" s="24">
        <v>3.36</v>
      </c>
      <c r="E30" s="21">
        <f>IF(D30="","",SUM(BASE_CALCULO!$B$3*$B$2/$B$3*D30))</f>
        <v>2.7670588235294113</v>
      </c>
      <c r="G30" s="28"/>
    </row>
    <row r="31" spans="1:7" ht="15" x14ac:dyDescent="0.25">
      <c r="A31" s="24"/>
      <c r="B31" s="24"/>
      <c r="C31" s="34" t="s">
        <v>17</v>
      </c>
      <c r="D31" s="24">
        <v>4.0999999999999996</v>
      </c>
      <c r="E31" s="21">
        <f>IF(D31="","",SUM(BASE_CALCULO!$B$3*$B$2/$B$3*D31))</f>
        <v>3.3764705882352937</v>
      </c>
      <c r="G31" s="28"/>
    </row>
    <row r="32" spans="1:7" ht="15" x14ac:dyDescent="0.25">
      <c r="A32" s="24"/>
      <c r="B32" s="24"/>
      <c r="C32" s="35" t="s">
        <v>147</v>
      </c>
      <c r="D32" s="25">
        <v>1.1299999999999999</v>
      </c>
      <c r="E32" s="21">
        <f>IF(D32="","",SUM(BASE_CALCULO!$B$3*$B$2/$B$3*D32))</f>
        <v>0.93058823529411749</v>
      </c>
      <c r="G32" s="28"/>
    </row>
    <row r="33" spans="1:7" ht="15" x14ac:dyDescent="0.25">
      <c r="A33" s="24"/>
      <c r="B33" s="24"/>
      <c r="C33" s="28" t="s">
        <v>147</v>
      </c>
      <c r="D33" s="25">
        <v>1.1000000000000001</v>
      </c>
      <c r="E33" s="21">
        <f>IF(D33="","",SUM(BASE_CALCULO!$B$3*$B$2/$B$3*D33))</f>
        <v>0.90588235294117647</v>
      </c>
      <c r="G33" s="28"/>
    </row>
    <row r="34" spans="1:7" ht="15" x14ac:dyDescent="0.25">
      <c r="A34" s="24"/>
      <c r="B34" s="24"/>
      <c r="C34" s="35" t="s">
        <v>148</v>
      </c>
      <c r="D34" s="25">
        <v>2.2599999999999998</v>
      </c>
      <c r="E34" s="21">
        <f>IF(D34="","",SUM(BASE_CALCULO!$B$3*$B$2/$B$3*D34))</f>
        <v>1.861176470588235</v>
      </c>
      <c r="G34" s="28"/>
    </row>
    <row r="35" spans="1:7" ht="15" x14ac:dyDescent="0.25">
      <c r="A35" s="24"/>
      <c r="B35" s="24"/>
      <c r="C35" s="28" t="s">
        <v>148</v>
      </c>
      <c r="D35" s="25">
        <v>1.1000000000000001</v>
      </c>
      <c r="E35" s="21">
        <f>IF(D35="","",SUM(BASE_CALCULO!$B$3*$B$2/$B$3*D35))</f>
        <v>0.90588235294117647</v>
      </c>
      <c r="G35" s="28"/>
    </row>
    <row r="36" spans="1:7" ht="15" x14ac:dyDescent="0.25">
      <c r="A36" s="24"/>
      <c r="B36" s="24"/>
      <c r="C36" s="35" t="s">
        <v>149</v>
      </c>
      <c r="D36" s="25">
        <v>2.2599999999999998</v>
      </c>
      <c r="E36" s="21">
        <f>IF(D36="","",SUM(BASE_CALCULO!$B$3*$B$2/$B$3*D36))</f>
        <v>1.861176470588235</v>
      </c>
      <c r="G36" s="28"/>
    </row>
    <row r="37" spans="1:7" ht="15" x14ac:dyDescent="0.25">
      <c r="A37" s="24"/>
      <c r="B37" s="24"/>
      <c r="C37" s="28" t="s">
        <v>149</v>
      </c>
      <c r="D37" s="25">
        <v>1.45</v>
      </c>
      <c r="E37" s="21">
        <f>IF(D37="","",SUM(BASE_CALCULO!$B$3*$B$2/$B$3*D37))</f>
        <v>1.1941176470588235</v>
      </c>
      <c r="G37" s="28"/>
    </row>
    <row r="38" spans="1:7" ht="15" x14ac:dyDescent="0.25">
      <c r="A38" s="24"/>
      <c r="B38" s="24"/>
      <c r="C38" s="34" t="s">
        <v>18</v>
      </c>
      <c r="D38" s="25">
        <v>2.4900000000000002</v>
      </c>
      <c r="E38" s="21">
        <f>IF(D38="","",SUM(BASE_CALCULO!$B$3*$B$2/$B$3*D38))</f>
        <v>2.0505882352941178</v>
      </c>
      <c r="G38" s="28"/>
    </row>
    <row r="39" spans="1:7" ht="15" x14ac:dyDescent="0.25">
      <c r="A39" s="24"/>
      <c r="B39" s="24"/>
      <c r="C39" s="34" t="s">
        <v>19</v>
      </c>
      <c r="D39" s="25">
        <v>1.5</v>
      </c>
      <c r="E39" s="21">
        <f>IF(D39="","",SUM(BASE_CALCULO!$B$3*$B$2/$B$3*D39))</f>
        <v>1.2352941176470589</v>
      </c>
      <c r="G39" s="28"/>
    </row>
    <row r="40" spans="1:7" ht="15" x14ac:dyDescent="0.25">
      <c r="A40" s="24"/>
      <c r="B40" s="24"/>
      <c r="C40" s="34" t="s">
        <v>20</v>
      </c>
      <c r="D40" s="25">
        <v>2.15</v>
      </c>
      <c r="E40" s="21">
        <f>IF(D40="","",SUM(BASE_CALCULO!$B$3*$B$2/$B$3*D40))</f>
        <v>1.7705882352941176</v>
      </c>
      <c r="G40" s="28"/>
    </row>
    <row r="41" spans="1:7" ht="15" x14ac:dyDescent="0.25">
      <c r="A41" s="24"/>
      <c r="B41" s="24"/>
      <c r="C41" s="34" t="s">
        <v>21</v>
      </c>
      <c r="D41" s="25">
        <v>2.63</v>
      </c>
      <c r="E41" s="21">
        <f>IF(D41="","",SUM(BASE_CALCULO!$B$3*$B$2/$B$3*D41))</f>
        <v>2.1658823529411761</v>
      </c>
      <c r="G41" s="28"/>
    </row>
    <row r="42" spans="1:7" ht="15" x14ac:dyDescent="0.25">
      <c r="A42" s="24"/>
      <c r="B42" s="24"/>
      <c r="C42" s="34" t="s">
        <v>22</v>
      </c>
      <c r="D42" s="25">
        <v>3.36</v>
      </c>
      <c r="E42" s="21">
        <f>IF(D42="","",SUM(BASE_CALCULO!$B$3*$B$2/$B$3*D42))</f>
        <v>2.7670588235294113</v>
      </c>
      <c r="G42" s="28"/>
    </row>
    <row r="43" spans="1:7" ht="15" x14ac:dyDescent="0.25">
      <c r="A43" s="24"/>
      <c r="B43" s="24"/>
      <c r="C43" s="34" t="s">
        <v>23</v>
      </c>
      <c r="D43" s="25">
        <v>4.0999999999999996</v>
      </c>
      <c r="E43" s="21">
        <f>IF(D43="","",SUM(BASE_CALCULO!$B$3*$B$2/$B$3*D43))</f>
        <v>3.3764705882352937</v>
      </c>
      <c r="G43" s="28"/>
    </row>
    <row r="44" spans="1:7" ht="15" x14ac:dyDescent="0.25">
      <c r="A44" s="24"/>
      <c r="B44" s="24"/>
      <c r="C44" s="34" t="s">
        <v>24</v>
      </c>
      <c r="D44" s="25">
        <v>4.7300000000000004</v>
      </c>
      <c r="E44" s="21">
        <f>IF(D44="","",SUM(BASE_CALCULO!$B$3*$B$2/$B$3*D44))</f>
        <v>3.895294117647059</v>
      </c>
      <c r="G44" s="28"/>
    </row>
    <row r="45" spans="1:7" ht="15" x14ac:dyDescent="0.25">
      <c r="A45" s="24"/>
      <c r="B45" s="24"/>
      <c r="C45" s="34" t="s">
        <v>235</v>
      </c>
      <c r="D45" s="25">
        <v>1</v>
      </c>
      <c r="E45" s="21">
        <f>IF(D45="","",SUM(BASE_CALCULO!$B$3*$B$2/$B$3*D45))</f>
        <v>0.82352941176470584</v>
      </c>
      <c r="G45" s="28"/>
    </row>
    <row r="46" spans="1:7" ht="15" x14ac:dyDescent="0.25">
      <c r="A46" s="24"/>
      <c r="B46" s="24"/>
      <c r="C46" s="28" t="s">
        <v>179</v>
      </c>
      <c r="D46" s="25">
        <v>0.91</v>
      </c>
      <c r="E46" s="21">
        <f>IF(D46="","",SUM(BASE_CALCULO!$B$3*$B$2/$B$3*D46))</f>
        <v>0.74941176470588233</v>
      </c>
      <c r="G46" s="28"/>
    </row>
    <row r="47" spans="1:7" ht="15" x14ac:dyDescent="0.25">
      <c r="A47" s="24"/>
      <c r="B47" s="24"/>
      <c r="C47" s="28" t="s">
        <v>185</v>
      </c>
      <c r="D47" s="25">
        <v>2.72</v>
      </c>
      <c r="E47" s="21">
        <f>IF(D47="","",SUM(BASE_CALCULO!$B$3*$B$2/$B$3*D47))</f>
        <v>2.2400000000000002</v>
      </c>
      <c r="G47" s="28"/>
    </row>
    <row r="48" spans="1:7" ht="15" x14ac:dyDescent="0.25">
      <c r="A48" s="24"/>
      <c r="B48" s="24"/>
      <c r="C48" s="28" t="s">
        <v>186</v>
      </c>
      <c r="D48" s="25">
        <v>2.4300000000000002</v>
      </c>
      <c r="E48" s="21">
        <f>IF(D48="","",SUM(BASE_CALCULO!$B$3*$B$2/$B$3*D48))</f>
        <v>2.0011764705882351</v>
      </c>
      <c r="G48" s="28"/>
    </row>
    <row r="49" spans="1:7" ht="15" x14ac:dyDescent="0.25">
      <c r="A49" s="24"/>
      <c r="B49" s="24"/>
      <c r="C49" s="28" t="s">
        <v>187</v>
      </c>
      <c r="D49" s="25">
        <v>2.93</v>
      </c>
      <c r="E49" s="21">
        <f>IF(D49="","",SUM(BASE_CALCULO!$B$3*$B$2/$B$3*D49))</f>
        <v>2.4129411764705884</v>
      </c>
      <c r="G49" s="28"/>
    </row>
    <row r="50" spans="1:7" ht="15" x14ac:dyDescent="0.25">
      <c r="A50" s="24"/>
      <c r="B50" s="24"/>
      <c r="C50" s="28" t="s">
        <v>180</v>
      </c>
      <c r="D50" s="25">
        <v>1.1200000000000001</v>
      </c>
      <c r="E50" s="21">
        <f>IF(D50="","",SUM(BASE_CALCULO!$B$3*$B$2/$B$3*D50))</f>
        <v>0.9223529411764706</v>
      </c>
      <c r="G50" s="28"/>
    </row>
    <row r="51" spans="1:7" ht="15" x14ac:dyDescent="0.25">
      <c r="A51" s="24"/>
      <c r="B51" s="24"/>
      <c r="C51" s="28" t="s">
        <v>188</v>
      </c>
      <c r="D51" s="25">
        <v>3.65</v>
      </c>
      <c r="E51" s="21">
        <f>IF(D51="","",SUM(BASE_CALCULO!$B$3*$B$2/$B$3*D51))</f>
        <v>3.0058823529411764</v>
      </c>
      <c r="G51" s="28"/>
    </row>
    <row r="52" spans="1:7" ht="15" x14ac:dyDescent="0.25">
      <c r="A52" s="24"/>
      <c r="B52" s="24"/>
      <c r="C52" s="28" t="s">
        <v>189</v>
      </c>
      <c r="D52" s="25">
        <v>4.4000000000000004</v>
      </c>
      <c r="E52" s="21">
        <f>IF(D52="","",SUM(BASE_CALCULO!$B$3*$B$2/$B$3*D52))</f>
        <v>3.6235294117647059</v>
      </c>
      <c r="G52" s="28"/>
    </row>
    <row r="53" spans="1:7" ht="15" x14ac:dyDescent="0.25">
      <c r="A53" s="24"/>
      <c r="B53" s="24"/>
      <c r="C53" s="28" t="s">
        <v>181</v>
      </c>
      <c r="D53" s="25">
        <v>1.1399999999999999</v>
      </c>
      <c r="E53" s="21">
        <f>IF(D53="","",SUM(BASE_CALCULO!$B$3*$B$2/$B$3*D53))</f>
        <v>0.93882352941176461</v>
      </c>
      <c r="G53" s="28"/>
    </row>
    <row r="54" spans="1:7" ht="15" x14ac:dyDescent="0.25">
      <c r="A54" s="24"/>
      <c r="B54" s="24"/>
      <c r="C54" s="28" t="s">
        <v>182</v>
      </c>
      <c r="D54" s="25">
        <v>1.75</v>
      </c>
      <c r="E54" s="21">
        <f>IF(D54="","",SUM(BASE_CALCULO!$B$3*$B$2/$B$3*D54))</f>
        <v>1.4411764705882353</v>
      </c>
      <c r="G54" s="28"/>
    </row>
    <row r="55" spans="1:7" ht="15" x14ac:dyDescent="0.25">
      <c r="A55" s="24"/>
      <c r="B55" s="24"/>
      <c r="C55" s="28" t="s">
        <v>183</v>
      </c>
      <c r="D55" s="25">
        <v>2.0499999999999998</v>
      </c>
      <c r="E55" s="21">
        <f>IF(D55="","",SUM(BASE_CALCULO!$B$3*$B$2/$B$3*D55))</f>
        <v>1.6882352941176468</v>
      </c>
      <c r="G55" s="28"/>
    </row>
    <row r="56" spans="1:7" ht="15" x14ac:dyDescent="0.25">
      <c r="A56" s="24"/>
      <c r="B56" s="24"/>
      <c r="C56" s="28" t="s">
        <v>184</v>
      </c>
      <c r="D56" s="25">
        <v>2.17</v>
      </c>
      <c r="E56" s="21">
        <f>IF(D56="","",SUM(BASE_CALCULO!$B$3*$B$2/$B$3*D56))</f>
        <v>1.7870588235294116</v>
      </c>
      <c r="G56" s="28"/>
    </row>
    <row r="57" spans="1:7" ht="15" x14ac:dyDescent="0.25">
      <c r="A57" s="24"/>
      <c r="B57" s="24"/>
      <c r="C57" s="35" t="s">
        <v>225</v>
      </c>
      <c r="D57" s="25">
        <v>1.1399999999999999</v>
      </c>
      <c r="E57" s="21">
        <f>IF(D57="","",SUM(BASE_CALCULO!$B$3*$B$2/$B$3*D57))</f>
        <v>0.93882352941176461</v>
      </c>
      <c r="G57" s="28"/>
    </row>
    <row r="58" spans="1:7" ht="15" x14ac:dyDescent="0.25">
      <c r="A58" s="24"/>
      <c r="B58" s="24"/>
      <c r="C58" s="34" t="s">
        <v>117</v>
      </c>
      <c r="D58" s="25">
        <v>3.63</v>
      </c>
      <c r="E58" s="21">
        <f>IF(D58="","",SUM(BASE_CALCULO!$B$3*$B$2/$B$3*D58))</f>
        <v>2.9894117647058822</v>
      </c>
      <c r="G58" s="28"/>
    </row>
    <row r="59" spans="1:7" ht="15" x14ac:dyDescent="0.25">
      <c r="A59" s="24"/>
      <c r="B59" s="24"/>
      <c r="C59" s="28" t="s">
        <v>117</v>
      </c>
      <c r="D59" s="25">
        <v>3.63</v>
      </c>
      <c r="E59" s="21">
        <f>IF(D59="","",SUM(BASE_CALCULO!$B$3*$B$2/$B$3*D59))</f>
        <v>2.9894117647058822</v>
      </c>
      <c r="G59" s="28"/>
    </row>
    <row r="60" spans="1:7" ht="15" x14ac:dyDescent="0.25">
      <c r="A60" s="24"/>
      <c r="B60" s="24"/>
      <c r="C60" s="34" t="s">
        <v>118</v>
      </c>
      <c r="D60" s="25">
        <v>4.03</v>
      </c>
      <c r="E60" s="21">
        <f>IF(D60="","",SUM(BASE_CALCULO!$B$3*$B$2/$B$3*D60))</f>
        <v>3.3188235294117647</v>
      </c>
      <c r="G60" s="28"/>
    </row>
    <row r="61" spans="1:7" ht="15" x14ac:dyDescent="0.25">
      <c r="A61" s="24"/>
      <c r="B61" s="24"/>
      <c r="C61" s="28" t="s">
        <v>118</v>
      </c>
      <c r="D61" s="25">
        <v>4.03</v>
      </c>
      <c r="E61" s="21">
        <f>IF(D61="","",SUM(BASE_CALCULO!$B$3*$B$2/$B$3*D61))</f>
        <v>3.3188235294117647</v>
      </c>
      <c r="G61" s="28"/>
    </row>
    <row r="62" spans="1:7" ht="15" x14ac:dyDescent="0.25">
      <c r="A62" s="24"/>
      <c r="B62" s="24"/>
      <c r="C62" s="34" t="s">
        <v>119</v>
      </c>
      <c r="D62" s="25">
        <v>4.53</v>
      </c>
      <c r="E62" s="21">
        <f>IF(D62="","",SUM(BASE_CALCULO!$B$3*$B$2/$B$3*D62))</f>
        <v>3.7305882352941175</v>
      </c>
      <c r="G62" s="29"/>
    </row>
    <row r="63" spans="1:7" ht="15" x14ac:dyDescent="0.25">
      <c r="A63" s="24"/>
      <c r="B63" s="24"/>
      <c r="C63" s="28" t="s">
        <v>119</v>
      </c>
      <c r="D63" s="25">
        <v>4.53</v>
      </c>
      <c r="E63" s="21">
        <f>IF(D63="","",SUM(BASE_CALCULO!$B$3*$B$2/$B$3*D63))</f>
        <v>3.7305882352941175</v>
      </c>
      <c r="G63" s="28"/>
    </row>
    <row r="64" spans="1:7" ht="15" x14ac:dyDescent="0.25">
      <c r="A64" s="24"/>
      <c r="B64" s="24"/>
      <c r="C64" s="34" t="s">
        <v>114</v>
      </c>
      <c r="D64" s="25">
        <v>2.6</v>
      </c>
      <c r="E64" s="21">
        <f>IF(D64="","",SUM(BASE_CALCULO!$B$3*$B$2/$B$3*D64))</f>
        <v>2.1411764705882352</v>
      </c>
      <c r="G64" s="28"/>
    </row>
    <row r="65" spans="1:7" ht="15" x14ac:dyDescent="0.25">
      <c r="A65" s="24"/>
      <c r="B65" s="24"/>
      <c r="C65" s="28" t="s">
        <v>114</v>
      </c>
      <c r="D65" s="25">
        <v>2.6</v>
      </c>
      <c r="E65" s="21">
        <f>IF(D65="","",SUM(BASE_CALCULO!$B$3*$B$2/$B$3*D65))</f>
        <v>2.1411764705882352</v>
      </c>
      <c r="G65" s="29"/>
    </row>
    <row r="66" spans="1:7" ht="15" x14ac:dyDescent="0.25">
      <c r="A66" s="24"/>
      <c r="B66" s="24"/>
      <c r="C66" s="34" t="s">
        <v>120</v>
      </c>
      <c r="D66" s="25">
        <v>4.59</v>
      </c>
      <c r="E66" s="21">
        <f>IF(D66="","",SUM(BASE_CALCULO!$B$3*$B$2/$B$3*D66))</f>
        <v>3.78</v>
      </c>
      <c r="G66" s="28"/>
    </row>
    <row r="67" spans="1:7" ht="15" x14ac:dyDescent="0.25">
      <c r="A67" s="24"/>
      <c r="B67" s="24"/>
      <c r="C67" s="28" t="s">
        <v>120</v>
      </c>
      <c r="D67" s="25">
        <v>4.59</v>
      </c>
      <c r="E67" s="21">
        <f>IF(D67="","",SUM(BASE_CALCULO!$B$3*$B$2/$B$3*D67))</f>
        <v>3.78</v>
      </c>
      <c r="G67" s="28"/>
    </row>
    <row r="68" spans="1:7" ht="15" x14ac:dyDescent="0.25">
      <c r="A68" s="24"/>
      <c r="B68" s="24"/>
      <c r="C68" s="34" t="s">
        <v>121</v>
      </c>
      <c r="D68" s="25">
        <v>5.34</v>
      </c>
      <c r="E68" s="21">
        <f>IF(D68="","",SUM(BASE_CALCULO!$B$3*$B$2/$B$3*D68))</f>
        <v>4.3976470588235292</v>
      </c>
      <c r="G68" s="29"/>
    </row>
    <row r="69" spans="1:7" ht="15" x14ac:dyDescent="0.25">
      <c r="A69" s="24"/>
      <c r="B69" s="24"/>
      <c r="C69" s="28" t="s">
        <v>121</v>
      </c>
      <c r="D69" s="25">
        <v>5.34</v>
      </c>
      <c r="E69" s="21">
        <f>IF(D69="","",SUM(BASE_CALCULO!$B$3*$B$2/$B$3*D69))</f>
        <v>4.3976470588235292</v>
      </c>
      <c r="G69" s="29"/>
    </row>
    <row r="70" spans="1:7" ht="15" x14ac:dyDescent="0.25">
      <c r="A70" s="24"/>
      <c r="B70" s="24"/>
      <c r="C70" s="34" t="s">
        <v>122</v>
      </c>
      <c r="D70" s="25">
        <v>5.94</v>
      </c>
      <c r="E70" s="21">
        <f>IF(D70="","",SUM(BASE_CALCULO!$B$3*$B$2/$B$3*D70))</f>
        <v>4.8917647058823528</v>
      </c>
      <c r="G70" s="28"/>
    </row>
    <row r="71" spans="1:7" ht="15" x14ac:dyDescent="0.25">
      <c r="A71" s="24"/>
      <c r="B71" s="24"/>
      <c r="C71" s="28" t="s">
        <v>122</v>
      </c>
      <c r="D71" s="25">
        <v>5.94</v>
      </c>
      <c r="E71" s="21">
        <f>IF(D71="","",SUM(BASE_CALCULO!$B$3*$B$2/$B$3*D71))</f>
        <v>4.8917647058823528</v>
      </c>
      <c r="G71" s="30"/>
    </row>
    <row r="72" spans="1:7" ht="15" x14ac:dyDescent="0.25">
      <c r="A72" s="24"/>
      <c r="B72" s="24"/>
      <c r="C72" s="34" t="s">
        <v>115</v>
      </c>
      <c r="D72" s="25">
        <v>2.92</v>
      </c>
      <c r="E72" s="21">
        <f>IF(D72="","",SUM(BASE_CALCULO!$B$3*$B$2/$B$3*D72))</f>
        <v>2.4047058823529408</v>
      </c>
      <c r="G72" s="29"/>
    </row>
    <row r="73" spans="1:7" ht="15.6" x14ac:dyDescent="0.25">
      <c r="A73" s="16"/>
      <c r="B73" s="16"/>
      <c r="C73" s="28" t="s">
        <v>115</v>
      </c>
      <c r="D73" s="25">
        <v>2.92</v>
      </c>
      <c r="E73" s="21">
        <f>IF(D73="","",SUM(BASE_CALCULO!$B$3*$B$2/$B$3*D73))</f>
        <v>2.4047058823529408</v>
      </c>
      <c r="G73" s="29"/>
    </row>
    <row r="74" spans="1:7" ht="15" x14ac:dyDescent="0.25">
      <c r="A74" s="24"/>
      <c r="B74" s="24"/>
      <c r="C74" s="34" t="s">
        <v>116</v>
      </c>
      <c r="D74" s="25">
        <v>3.62</v>
      </c>
      <c r="E74" s="21">
        <f>IF(D74="","",SUM(BASE_CALCULO!$B$3*$B$2/$B$3*D74))</f>
        <v>2.9811764705882351</v>
      </c>
      <c r="G74" s="29"/>
    </row>
    <row r="75" spans="1:7" ht="15" x14ac:dyDescent="0.25">
      <c r="A75" s="24"/>
      <c r="B75" s="24"/>
      <c r="C75" s="28" t="s">
        <v>116</v>
      </c>
      <c r="D75" s="25">
        <v>3.62</v>
      </c>
      <c r="E75" s="21">
        <f>IF(D75="","",SUM(BASE_CALCULO!$B$3*$B$2/$B$3*D75))</f>
        <v>2.9811764705882351</v>
      </c>
      <c r="G75" s="29"/>
    </row>
    <row r="76" spans="1:7" ht="15" x14ac:dyDescent="0.25">
      <c r="A76" s="24"/>
      <c r="B76" s="24"/>
      <c r="C76" s="28" t="s">
        <v>229</v>
      </c>
      <c r="D76" s="25">
        <v>2.72</v>
      </c>
      <c r="E76" s="21">
        <f>IF(D76="","",SUM(BASE_CALCULO!$B$3*$B$2/$B$3*D76))</f>
        <v>2.2400000000000002</v>
      </c>
      <c r="G76" s="29"/>
    </row>
    <row r="77" spans="1:7" ht="15" x14ac:dyDescent="0.25">
      <c r="A77" s="24"/>
      <c r="B77" s="24"/>
      <c r="C77" s="28" t="s">
        <v>230</v>
      </c>
      <c r="D77" s="25">
        <v>2.4300000000000002</v>
      </c>
      <c r="E77" s="21">
        <f>IF(D77="","",SUM(BASE_CALCULO!$B$3*$B$2/$B$3*D77))</f>
        <v>2.0011764705882351</v>
      </c>
      <c r="G77" s="29"/>
    </row>
    <row r="78" spans="1:7" ht="15" x14ac:dyDescent="0.25">
      <c r="A78" s="24"/>
      <c r="B78" s="24"/>
      <c r="C78" s="28" t="s">
        <v>231</v>
      </c>
      <c r="D78" s="25">
        <v>2.93</v>
      </c>
      <c r="E78" s="21">
        <f>IF(D78="","",SUM(BASE_CALCULO!$B$3*$B$2/$B$3*D78))</f>
        <v>2.4129411764705884</v>
      </c>
      <c r="G78" s="29"/>
    </row>
    <row r="79" spans="1:7" ht="15" x14ac:dyDescent="0.25">
      <c r="A79" s="24"/>
      <c r="B79" s="24"/>
      <c r="C79" s="28" t="s">
        <v>232</v>
      </c>
      <c r="D79" s="25">
        <v>3.65</v>
      </c>
      <c r="E79" s="21">
        <f>IF(D79="","",SUM(BASE_CALCULO!$B$3*$B$2/$B$3*D79))</f>
        <v>3.0058823529411764</v>
      </c>
      <c r="G79" s="29"/>
    </row>
    <row r="80" spans="1:7" ht="15" x14ac:dyDescent="0.25">
      <c r="A80" s="24"/>
      <c r="B80" s="24"/>
      <c r="C80" s="28" t="s">
        <v>233</v>
      </c>
      <c r="D80" s="25">
        <v>4.4000000000000004</v>
      </c>
      <c r="E80" s="21">
        <f>IF(D80="","",SUM(BASE_CALCULO!$B$3*$B$2/$B$3*D80))</f>
        <v>3.6235294117647059</v>
      </c>
      <c r="G80" s="29"/>
    </row>
    <row r="81" spans="1:7" ht="15" x14ac:dyDescent="0.25">
      <c r="A81" s="24"/>
      <c r="B81" s="24"/>
      <c r="C81" s="28" t="s">
        <v>226</v>
      </c>
      <c r="D81" s="25">
        <v>1.1399999999999999</v>
      </c>
      <c r="E81" s="21">
        <f>IF(D81="","",SUM(BASE_CALCULO!$B$3*$B$2/$B$3*D81))</f>
        <v>0.93882352941176461</v>
      </c>
      <c r="G81" s="28"/>
    </row>
    <row r="82" spans="1:7" ht="15" x14ac:dyDescent="0.25">
      <c r="A82" s="24"/>
      <c r="B82" s="24"/>
      <c r="C82" s="28" t="s">
        <v>227</v>
      </c>
      <c r="D82" s="25">
        <v>1.75</v>
      </c>
      <c r="E82" s="21">
        <f>IF(D82="","",SUM(BASE_CALCULO!$B$3*$B$2/$B$3*D82))</f>
        <v>1.4411764705882353</v>
      </c>
      <c r="G82" s="28"/>
    </row>
    <row r="83" spans="1:7" ht="15" x14ac:dyDescent="0.25">
      <c r="A83" s="24"/>
      <c r="B83" s="24"/>
      <c r="C83" s="28" t="s">
        <v>228</v>
      </c>
      <c r="D83" s="25">
        <v>2.17</v>
      </c>
      <c r="E83" s="21">
        <f>IF(D83="","",SUM(BASE_CALCULO!$B$3*$B$2/$B$3*D83))</f>
        <v>1.7870588235294116</v>
      </c>
      <c r="G83" s="28"/>
    </row>
    <row r="84" spans="1:7" ht="30" x14ac:dyDescent="0.25">
      <c r="A84" s="24"/>
      <c r="B84" s="24"/>
      <c r="C84" s="34" t="s">
        <v>86</v>
      </c>
      <c r="D84" s="25">
        <v>2.72</v>
      </c>
      <c r="E84" s="21">
        <f>IF(D84="","",SUM(BASE_CALCULO!$B$3*$B$2/$B$3*D84))</f>
        <v>2.2400000000000002</v>
      </c>
      <c r="G84" s="28"/>
    </row>
    <row r="85" spans="1:7" ht="15" x14ac:dyDescent="0.25">
      <c r="A85" s="24"/>
      <c r="B85" s="24"/>
      <c r="C85" s="28" t="s">
        <v>86</v>
      </c>
      <c r="D85" s="25">
        <v>2.72</v>
      </c>
      <c r="E85" s="21">
        <f>IF(D85="","",SUM(BASE_CALCULO!$B$3*$B$2/$B$3*D85))</f>
        <v>2.2400000000000002</v>
      </c>
      <c r="G85" s="28"/>
    </row>
    <row r="86" spans="1:7" ht="30" x14ac:dyDescent="0.25">
      <c r="A86" s="24"/>
      <c r="B86" s="24"/>
      <c r="C86" s="34" t="s">
        <v>87</v>
      </c>
      <c r="D86" s="25">
        <v>2.4</v>
      </c>
      <c r="E86" s="21">
        <f>IF(D86="","",SUM(BASE_CALCULO!$B$3*$B$2/$B$3*D86))</f>
        <v>1.976470588235294</v>
      </c>
      <c r="G86" s="28"/>
    </row>
    <row r="87" spans="1:7" ht="15" x14ac:dyDescent="0.25">
      <c r="A87" s="24"/>
      <c r="B87" s="24"/>
      <c r="C87" s="28" t="s">
        <v>87</v>
      </c>
      <c r="D87" s="25">
        <v>2.4300000000000002</v>
      </c>
      <c r="E87" s="21">
        <f>IF(D87="","",SUM(BASE_CALCULO!$B$3*$B$2/$B$3*D87))</f>
        <v>2.0011764705882351</v>
      </c>
      <c r="G87" s="28"/>
    </row>
    <row r="88" spans="1:7" ht="30" x14ac:dyDescent="0.25">
      <c r="A88" s="24"/>
      <c r="B88" s="24"/>
      <c r="C88" s="34" t="s">
        <v>88</v>
      </c>
      <c r="D88" s="25">
        <v>2.93</v>
      </c>
      <c r="E88" s="21">
        <f>IF(D88="","",SUM(BASE_CALCULO!$B$3*$B$2/$B$3*D88))</f>
        <v>2.4129411764705884</v>
      </c>
      <c r="G88" s="28"/>
    </row>
    <row r="89" spans="1:7" ht="15" x14ac:dyDescent="0.25">
      <c r="A89" s="24"/>
      <c r="B89" s="24"/>
      <c r="C89" s="28" t="s">
        <v>88</v>
      </c>
      <c r="D89" s="25">
        <v>2.93</v>
      </c>
      <c r="E89" s="21">
        <f>IF(D89="","",SUM(BASE_CALCULO!$B$3*$B$2/$B$3*D89))</f>
        <v>2.4129411764705884</v>
      </c>
      <c r="G89" s="28"/>
    </row>
    <row r="90" spans="1:7" ht="30" x14ac:dyDescent="0.25">
      <c r="A90" s="24"/>
      <c r="B90" s="24"/>
      <c r="C90" s="34" t="s">
        <v>89</v>
      </c>
      <c r="D90" s="25">
        <v>3.65</v>
      </c>
      <c r="E90" s="21">
        <f>IF(D90="","",SUM(BASE_CALCULO!$B$3*$B$2/$B$3*D90))</f>
        <v>3.0058823529411764</v>
      </c>
      <c r="G90" s="28"/>
    </row>
    <row r="91" spans="1:7" ht="15" x14ac:dyDescent="0.25">
      <c r="A91" s="24"/>
      <c r="B91" s="24"/>
      <c r="C91" s="28" t="s">
        <v>89</v>
      </c>
      <c r="D91" s="25">
        <v>3.65</v>
      </c>
      <c r="E91" s="21">
        <f>IF(D91="","",SUM(BASE_CALCULO!$B$3*$B$2/$B$3*D91))</f>
        <v>3.0058823529411764</v>
      </c>
      <c r="G91" s="28"/>
    </row>
    <row r="92" spans="1:7" ht="30" x14ac:dyDescent="0.25">
      <c r="A92" s="24"/>
      <c r="B92" s="24"/>
      <c r="C92" s="34" t="s">
        <v>90</v>
      </c>
      <c r="D92" s="25">
        <v>4.3</v>
      </c>
      <c r="E92" s="21">
        <f>IF(D92="","",SUM(BASE_CALCULO!$B$3*$B$2/$B$3*D92))</f>
        <v>3.5411764705882351</v>
      </c>
      <c r="G92" s="28"/>
    </row>
    <row r="93" spans="1:7" ht="15" x14ac:dyDescent="0.25">
      <c r="A93" s="24"/>
      <c r="B93" s="24"/>
      <c r="C93" s="28" t="s">
        <v>90</v>
      </c>
      <c r="D93" s="25">
        <v>4.4000000000000004</v>
      </c>
      <c r="E93" s="21">
        <f>IF(D93="","",SUM(BASE_CALCULO!$B$3*$B$2/$B$3*D93))</f>
        <v>3.6235294117647059</v>
      </c>
      <c r="G93" s="28"/>
    </row>
    <row r="94" spans="1:7" ht="30" x14ac:dyDescent="0.25">
      <c r="A94" s="24"/>
      <c r="B94" s="24"/>
      <c r="C94" s="34" t="s">
        <v>83</v>
      </c>
      <c r="D94" s="25">
        <v>1.71</v>
      </c>
      <c r="E94" s="21">
        <f>IF(D94="","",SUM(BASE_CALCULO!$B$3*$B$2/$B$3*D94))</f>
        <v>1.408235294117647</v>
      </c>
      <c r="G94" s="28"/>
    </row>
    <row r="95" spans="1:7" ht="15" x14ac:dyDescent="0.25">
      <c r="A95" s="24"/>
      <c r="B95" s="24"/>
      <c r="C95" s="28" t="s">
        <v>83</v>
      </c>
      <c r="D95" s="25">
        <v>1.1399999999999999</v>
      </c>
      <c r="E95" s="21">
        <f>IF(D95="","",SUM(BASE_CALCULO!$B$3*$B$2/$B$3*D95))</f>
        <v>0.93882352941176461</v>
      </c>
      <c r="G95" s="28"/>
    </row>
    <row r="96" spans="1:7" ht="30" x14ac:dyDescent="0.25">
      <c r="A96" s="24"/>
      <c r="B96" s="24"/>
      <c r="C96" s="34" t="s">
        <v>84</v>
      </c>
      <c r="D96" s="25">
        <v>1.75</v>
      </c>
      <c r="E96" s="21">
        <f>IF(D96="","",SUM(BASE_CALCULO!$B$3*$B$2/$B$3*D96))</f>
        <v>1.4411764705882353</v>
      </c>
      <c r="G96" s="28"/>
    </row>
    <row r="97" spans="1:7" ht="15" x14ac:dyDescent="0.25">
      <c r="A97" s="24"/>
      <c r="B97" s="24"/>
      <c r="C97" s="28" t="s">
        <v>84</v>
      </c>
      <c r="D97" s="25">
        <v>1.75</v>
      </c>
      <c r="E97" s="21">
        <f>IF(D97="","",SUM(BASE_CALCULO!$B$3*$B$2/$B$3*D97))</f>
        <v>1.4411764705882353</v>
      </c>
      <c r="G97" s="28"/>
    </row>
    <row r="98" spans="1:7" ht="30" x14ac:dyDescent="0.25">
      <c r="A98" s="24"/>
      <c r="B98" s="24"/>
      <c r="C98" s="34" t="s">
        <v>85</v>
      </c>
      <c r="D98" s="25">
        <v>2.17</v>
      </c>
      <c r="E98" s="21">
        <f>IF(D98="","",SUM(BASE_CALCULO!$B$3*$B$2/$B$3*D98))</f>
        <v>1.7870588235294116</v>
      </c>
      <c r="G98" s="28"/>
    </row>
    <row r="99" spans="1:7" ht="15" x14ac:dyDescent="0.25">
      <c r="A99" s="24"/>
      <c r="B99" s="24"/>
      <c r="C99" s="28" t="s">
        <v>85</v>
      </c>
      <c r="D99" s="25">
        <v>2.17</v>
      </c>
      <c r="E99" s="21">
        <f>IF(D99="","",SUM(BASE_CALCULO!$B$3*$B$2/$B$3*D99))</f>
        <v>1.7870588235294116</v>
      </c>
      <c r="G99" s="28"/>
    </row>
    <row r="100" spans="1:7" ht="15" x14ac:dyDescent="0.25">
      <c r="A100" s="24"/>
      <c r="B100" s="24"/>
      <c r="C100" s="35" t="s">
        <v>160</v>
      </c>
      <c r="D100" s="25">
        <v>9.25</v>
      </c>
      <c r="E100" s="21">
        <f>IF(D100="","",SUM(BASE_CALCULO!$B$3*$B$2/$B$3*D100))</f>
        <v>7.617647058823529</v>
      </c>
      <c r="G100" s="28"/>
    </row>
    <row r="101" spans="1:7" ht="15" x14ac:dyDescent="0.25">
      <c r="A101" s="24"/>
      <c r="B101" s="24"/>
      <c r="C101" s="35" t="s">
        <v>162</v>
      </c>
      <c r="D101" s="25">
        <v>10.7</v>
      </c>
      <c r="E101" s="21">
        <f>IF(D101="","",SUM(BASE_CALCULO!$B$3*$B$2/$B$3*D101))</f>
        <v>8.8117647058823518</v>
      </c>
      <c r="G101" s="28"/>
    </row>
    <row r="102" spans="1:7" ht="15" x14ac:dyDescent="0.25">
      <c r="A102" s="24"/>
      <c r="B102" s="24"/>
      <c r="C102" s="35" t="s">
        <v>150</v>
      </c>
      <c r="D102" s="25">
        <v>2.73</v>
      </c>
      <c r="E102" s="21">
        <f>IF(D102="","",SUM(BASE_CALCULO!$B$3*$B$2/$B$3*D102))</f>
        <v>2.2482352941176469</v>
      </c>
      <c r="G102" s="28"/>
    </row>
    <row r="103" spans="1:7" ht="15" x14ac:dyDescent="0.25">
      <c r="A103" s="24"/>
      <c r="B103" s="24"/>
      <c r="C103" s="35" t="s">
        <v>168</v>
      </c>
      <c r="D103" s="25">
        <v>14.95</v>
      </c>
      <c r="E103" s="21">
        <f>IF(D103="","",SUM(BASE_CALCULO!$B$3*$B$2/$B$3*D103))</f>
        <v>12.311764705882352</v>
      </c>
      <c r="G103" s="28"/>
    </row>
    <row r="104" spans="1:7" ht="15" x14ac:dyDescent="0.25">
      <c r="A104" s="24"/>
      <c r="B104" s="24"/>
      <c r="C104" s="35" t="s">
        <v>151</v>
      </c>
      <c r="D104" s="25">
        <v>2.95</v>
      </c>
      <c r="E104" s="21">
        <f>IF(D104="","",SUM(BASE_CALCULO!$B$3*$B$2/$B$3*D104))</f>
        <v>2.4294117647058826</v>
      </c>
      <c r="G104" s="28"/>
    </row>
    <row r="105" spans="1:7" ht="15" x14ac:dyDescent="0.25">
      <c r="A105" s="24"/>
      <c r="B105" s="24"/>
      <c r="C105" s="35" t="s">
        <v>152</v>
      </c>
      <c r="D105" s="25">
        <v>4.7300000000000004</v>
      </c>
      <c r="E105" s="21">
        <f>IF(D105="","",SUM(BASE_CALCULO!$B$3*$B$2/$B$3*D105))</f>
        <v>3.895294117647059</v>
      </c>
      <c r="G105" s="28"/>
    </row>
    <row r="106" spans="1:7" ht="15" x14ac:dyDescent="0.25">
      <c r="A106" s="24"/>
      <c r="B106" s="24"/>
      <c r="C106" s="35" t="s">
        <v>153</v>
      </c>
      <c r="D106" s="25">
        <v>5.73</v>
      </c>
      <c r="E106" s="21">
        <f>IF(D106="","",SUM(BASE_CALCULO!$B$3*$B$2/$B$3*D106))</f>
        <v>4.7188235294117646</v>
      </c>
      <c r="G106" s="28"/>
    </row>
    <row r="107" spans="1:7" ht="15" x14ac:dyDescent="0.25">
      <c r="A107" s="24"/>
      <c r="B107" s="24"/>
      <c r="C107" s="35" t="s">
        <v>154</v>
      </c>
      <c r="D107" s="25">
        <v>5.05</v>
      </c>
      <c r="E107" s="21">
        <f>IF(D107="","",SUM(BASE_CALCULO!$B$3*$B$2/$B$3*D107))</f>
        <v>4.1588235294117641</v>
      </c>
      <c r="G107" s="30"/>
    </row>
    <row r="108" spans="1:7" ht="15" x14ac:dyDescent="0.25">
      <c r="A108" s="24"/>
      <c r="B108" s="24"/>
      <c r="C108" s="35" t="s">
        <v>155</v>
      </c>
      <c r="D108" s="25">
        <v>5.75</v>
      </c>
      <c r="E108" s="21">
        <f>IF(D108="","",SUM(BASE_CALCULO!$B$3*$B$2/$B$3*D108))</f>
        <v>4.7352941176470589</v>
      </c>
      <c r="G108" s="30"/>
    </row>
    <row r="109" spans="1:7" ht="15" x14ac:dyDescent="0.25">
      <c r="A109" s="20"/>
      <c r="B109" s="20"/>
      <c r="C109" s="35" t="s">
        <v>156</v>
      </c>
      <c r="D109" s="25">
        <v>6.45</v>
      </c>
      <c r="E109" s="21">
        <f>IF(D109="","",SUM(BASE_CALCULO!$B$3*$B$2/$B$3*D109))</f>
        <v>5.3117647058823527</v>
      </c>
      <c r="G109" s="30"/>
    </row>
    <row r="110" spans="1:7" ht="15" x14ac:dyDescent="0.25">
      <c r="A110" s="20"/>
      <c r="B110" s="20"/>
      <c r="C110" s="35" t="s">
        <v>157</v>
      </c>
      <c r="D110" s="25">
        <v>7.15</v>
      </c>
      <c r="E110" s="21">
        <f>IF(D110="","",SUM(BASE_CALCULO!$B$3*$B$2/$B$3*D110))</f>
        <v>5.8882352941176475</v>
      </c>
      <c r="G110" s="30"/>
    </row>
    <row r="111" spans="1:7" ht="15" x14ac:dyDescent="0.25">
      <c r="A111" s="20"/>
      <c r="B111" s="20"/>
      <c r="C111" s="35" t="s">
        <v>158</v>
      </c>
      <c r="D111" s="25">
        <v>7.85</v>
      </c>
      <c r="E111" s="21">
        <f>IF(D111="","",SUM(BASE_CALCULO!$B$3*$B$2/$B$3*D111))</f>
        <v>6.4647058823529404</v>
      </c>
      <c r="G111" s="30"/>
    </row>
    <row r="112" spans="1:7" ht="15" x14ac:dyDescent="0.25">
      <c r="A112" s="20"/>
      <c r="B112" s="20"/>
      <c r="C112" s="35" t="s">
        <v>159</v>
      </c>
      <c r="D112" s="25">
        <v>8.5500000000000007</v>
      </c>
      <c r="E112" s="21">
        <f>IF(D112="","",SUM(BASE_CALCULO!$B$3*$B$2/$B$3*D112))</f>
        <v>7.0411764705882351</v>
      </c>
      <c r="G112" s="30"/>
    </row>
    <row r="113" spans="1:7" ht="15" x14ac:dyDescent="0.25">
      <c r="A113" s="20"/>
      <c r="B113" s="20"/>
      <c r="C113" s="35" t="s">
        <v>161</v>
      </c>
      <c r="D113" s="25">
        <v>9.9499999999999993</v>
      </c>
      <c r="E113" s="21">
        <f>IF(D113="","",SUM(BASE_CALCULO!$B$3*$B$2/$B$3*D113))</f>
        <v>8.1941176470588228</v>
      </c>
      <c r="G113" s="30"/>
    </row>
    <row r="114" spans="1:7" ht="15" x14ac:dyDescent="0.25">
      <c r="A114" s="20"/>
      <c r="B114" s="20"/>
      <c r="C114" s="35" t="s">
        <v>163</v>
      </c>
      <c r="D114" s="25">
        <v>11.45</v>
      </c>
      <c r="E114" s="21">
        <f>IF(D114="","",SUM(BASE_CALCULO!$B$3*$B$2/$B$3*D114))</f>
        <v>9.4294117647058808</v>
      </c>
      <c r="G114" s="28"/>
    </row>
    <row r="115" spans="1:7" ht="15" x14ac:dyDescent="0.25">
      <c r="A115" s="20"/>
      <c r="B115" s="20"/>
      <c r="C115" s="35" t="s">
        <v>164</v>
      </c>
      <c r="D115" s="25">
        <v>11.9</v>
      </c>
      <c r="E115" s="21">
        <f>IF(D115="","",SUM(BASE_CALCULO!$B$3*$B$2/$B$3*D115))</f>
        <v>9.8000000000000007</v>
      </c>
      <c r="G115" s="28"/>
    </row>
    <row r="116" spans="1:7" ht="15" x14ac:dyDescent="0.25">
      <c r="A116" s="20"/>
      <c r="B116" s="20"/>
      <c r="C116" s="35" t="s">
        <v>165</v>
      </c>
      <c r="D116" s="25">
        <v>12.85</v>
      </c>
      <c r="E116" s="21">
        <f>IF(D116="","",SUM(BASE_CALCULO!$B$3*$B$2/$B$3*D116))</f>
        <v>10.58235294117647</v>
      </c>
      <c r="G116" s="28"/>
    </row>
    <row r="117" spans="1:7" ht="15" x14ac:dyDescent="0.25">
      <c r="A117" s="20"/>
      <c r="B117" s="20"/>
      <c r="C117" s="35" t="s">
        <v>166</v>
      </c>
      <c r="D117" s="25">
        <v>13.55</v>
      </c>
      <c r="E117" s="21">
        <f>IF(D117="","",SUM(BASE_CALCULO!$B$3*$B$2/$B$3*D117))</f>
        <v>11.158823529411764</v>
      </c>
      <c r="G117" s="28"/>
    </row>
    <row r="118" spans="1:7" ht="15" x14ac:dyDescent="0.25">
      <c r="A118" s="20"/>
      <c r="B118" s="20"/>
      <c r="C118" s="35" t="s">
        <v>167</v>
      </c>
      <c r="D118" s="25">
        <v>14.15</v>
      </c>
      <c r="E118" s="21">
        <f>IF(D118="","",SUM(BASE_CALCULO!$B$3*$B$2/$B$3*D118))</f>
        <v>11.652941176470588</v>
      </c>
      <c r="G118" s="28"/>
    </row>
    <row r="119" spans="1:7" ht="15" x14ac:dyDescent="0.25">
      <c r="A119" s="20"/>
      <c r="B119" s="20"/>
      <c r="C119" s="35" t="s">
        <v>137</v>
      </c>
      <c r="D119" s="25">
        <v>1.4</v>
      </c>
      <c r="E119" s="21">
        <f>IF(D119="","",SUM(BASE_CALCULO!$B$3*$B$2/$B$3*D119))</f>
        <v>1.1529411764705881</v>
      </c>
      <c r="G119" s="28"/>
    </row>
    <row r="120" spans="1:7" ht="15" x14ac:dyDescent="0.25">
      <c r="A120" s="20"/>
      <c r="B120" s="20"/>
      <c r="C120" s="28" t="s">
        <v>137</v>
      </c>
      <c r="D120" s="25">
        <v>1.1000000000000001</v>
      </c>
      <c r="E120" s="21">
        <f>IF(D120="","",SUM(BASE_CALCULO!$B$3*$B$2/$B$3*D120))</f>
        <v>0.90588235294117647</v>
      </c>
      <c r="G120" s="28"/>
    </row>
    <row r="121" spans="1:7" ht="15" x14ac:dyDescent="0.25">
      <c r="A121" s="20"/>
      <c r="B121" s="20"/>
      <c r="C121" s="35" t="s">
        <v>140</v>
      </c>
      <c r="D121" s="25">
        <v>2.4</v>
      </c>
      <c r="E121" s="21">
        <f>IF(D121="","",SUM(BASE_CALCULO!$B$3*$B$2/$B$3*D121))</f>
        <v>1.976470588235294</v>
      </c>
      <c r="G121" s="28"/>
    </row>
    <row r="122" spans="1:7" ht="15" x14ac:dyDescent="0.25">
      <c r="A122" s="20"/>
      <c r="B122" s="20"/>
      <c r="C122" s="28" t="s">
        <v>140</v>
      </c>
      <c r="D122" s="25">
        <v>2.4</v>
      </c>
      <c r="E122" s="21">
        <f>IF(D122="","",SUM(BASE_CALCULO!$B$3*$B$2/$B$3*D122))</f>
        <v>1.976470588235294</v>
      </c>
      <c r="G122" s="28"/>
    </row>
    <row r="123" spans="1:7" ht="15" x14ac:dyDescent="0.25">
      <c r="A123" s="20"/>
      <c r="B123" s="20"/>
      <c r="C123" s="35" t="s">
        <v>138</v>
      </c>
      <c r="D123" s="25">
        <v>1.6</v>
      </c>
      <c r="E123" s="21">
        <f>IF(D123="","",SUM(BASE_CALCULO!$B$3*$B$2/$B$3*D123))</f>
        <v>1.3176470588235294</v>
      </c>
      <c r="G123" s="28"/>
    </row>
    <row r="124" spans="1:7" ht="15" x14ac:dyDescent="0.25">
      <c r="A124" s="20"/>
      <c r="B124" s="20"/>
      <c r="C124" s="28" t="s">
        <v>138</v>
      </c>
      <c r="D124" s="25">
        <v>1.1000000000000001</v>
      </c>
      <c r="E124" s="21">
        <f>IF(D124="","",SUM(BASE_CALCULO!$B$3*$B$2/$B$3*D124))</f>
        <v>0.90588235294117647</v>
      </c>
      <c r="G124" s="28"/>
    </row>
    <row r="125" spans="1:7" ht="15" x14ac:dyDescent="0.25">
      <c r="A125" s="20"/>
      <c r="B125" s="20"/>
      <c r="C125" s="35" t="s">
        <v>139</v>
      </c>
      <c r="D125" s="25">
        <v>2</v>
      </c>
      <c r="E125" s="21">
        <f>IF(D125="","",SUM(BASE_CALCULO!$B$3*$B$2/$B$3*D125))</f>
        <v>1.6470588235294117</v>
      </c>
      <c r="G125" s="28"/>
    </row>
    <row r="126" spans="1:7" ht="15" x14ac:dyDescent="0.25">
      <c r="A126" s="20"/>
      <c r="B126" s="20"/>
      <c r="C126" s="28" t="s">
        <v>139</v>
      </c>
      <c r="D126" s="25">
        <v>1.45</v>
      </c>
      <c r="E126" s="21">
        <f>IF(D126="","",SUM(BASE_CALCULO!$B$3*$B$2/$B$3*D126))</f>
        <v>1.1941176470588235</v>
      </c>
      <c r="G126" s="28"/>
    </row>
    <row r="127" spans="1:7" ht="15" x14ac:dyDescent="0.25">
      <c r="A127" s="20"/>
      <c r="B127" s="20"/>
      <c r="C127" s="28" t="s">
        <v>193</v>
      </c>
      <c r="D127" s="25">
        <v>2.4500000000000002</v>
      </c>
      <c r="E127" s="21">
        <f>IF(D127="","",SUM(BASE_CALCULO!$B$3*$B$2/$B$3*D127))</f>
        <v>2.0176470588235293</v>
      </c>
      <c r="G127" s="28"/>
    </row>
    <row r="128" spans="1:7" ht="15" x14ac:dyDescent="0.25">
      <c r="A128" s="20"/>
      <c r="B128" s="20"/>
      <c r="C128" s="28" t="s">
        <v>194</v>
      </c>
      <c r="D128" s="25">
        <v>2.1800000000000002</v>
      </c>
      <c r="E128" s="21">
        <f>IF(D128="","",SUM(BASE_CALCULO!$B$3*$B$2/$B$3*D128))</f>
        <v>1.7952941176470589</v>
      </c>
      <c r="G128" s="28"/>
    </row>
    <row r="129" spans="1:7" ht="15" x14ac:dyDescent="0.25">
      <c r="A129" s="20"/>
      <c r="B129" s="20"/>
      <c r="C129" s="36" t="s">
        <v>195</v>
      </c>
      <c r="D129" s="25">
        <v>2.8</v>
      </c>
      <c r="E129" s="21">
        <f>IF(D129="","",SUM(BASE_CALCULO!$B$3*$B$2/$B$3*D129))</f>
        <v>2.3058823529411763</v>
      </c>
      <c r="G129" s="28"/>
    </row>
    <row r="130" spans="1:7" ht="15" x14ac:dyDescent="0.25">
      <c r="A130" s="20"/>
      <c r="B130" s="20"/>
      <c r="C130" s="28" t="s">
        <v>201</v>
      </c>
      <c r="D130" s="25">
        <v>3.25</v>
      </c>
      <c r="E130" s="21">
        <f>IF(D130="","",SUM(BASE_CALCULO!$B$3*$B$2/$B$3*D130))</f>
        <v>2.6764705882352939</v>
      </c>
      <c r="G130" s="28"/>
    </row>
    <row r="131" spans="1:7" ht="15" x14ac:dyDescent="0.25">
      <c r="A131" s="20"/>
      <c r="B131" s="20"/>
      <c r="C131" s="28" t="s">
        <v>203</v>
      </c>
      <c r="D131" s="25">
        <v>4.25</v>
      </c>
      <c r="E131" s="21">
        <f>IF(D131="","",SUM(BASE_CALCULO!$B$3*$B$2/$B$3*D131))</f>
        <v>3.5</v>
      </c>
      <c r="G131" s="28"/>
    </row>
    <row r="132" spans="1:7" ht="15" x14ac:dyDescent="0.25">
      <c r="A132" s="20"/>
      <c r="B132" s="20"/>
      <c r="C132" s="28" t="s">
        <v>197</v>
      </c>
      <c r="D132" s="25">
        <v>1.93</v>
      </c>
      <c r="E132" s="21">
        <f>IF(D132="","",SUM(BASE_CALCULO!$B$3*$B$2/$B$3*D132))</f>
        <v>1.5894117647058823</v>
      </c>
      <c r="G132" s="28"/>
    </row>
    <row r="133" spans="1:7" ht="15" x14ac:dyDescent="0.25">
      <c r="A133" s="20"/>
      <c r="B133" s="20"/>
      <c r="C133" s="28" t="s">
        <v>199</v>
      </c>
      <c r="D133" s="25">
        <v>2.35</v>
      </c>
      <c r="E133" s="21">
        <f>IF(D133="","",SUM(BASE_CALCULO!$B$3*$B$2/$B$3*D133))</f>
        <v>1.9352941176470588</v>
      </c>
      <c r="G133" s="28"/>
    </row>
    <row r="134" spans="1:7" ht="15" x14ac:dyDescent="0.25">
      <c r="A134" s="20"/>
      <c r="B134" s="20"/>
      <c r="C134" s="28" t="s">
        <v>213</v>
      </c>
      <c r="D134" s="25">
        <v>2.72</v>
      </c>
      <c r="E134" s="21">
        <f>IF(D134="","",SUM(BASE_CALCULO!$B$3*$B$2/$B$3*D134))</f>
        <v>2.2400000000000002</v>
      </c>
      <c r="G134" s="28"/>
    </row>
    <row r="135" spans="1:7" ht="15" x14ac:dyDescent="0.25">
      <c r="A135" s="20"/>
      <c r="B135" s="20"/>
      <c r="C135" s="28" t="s">
        <v>215</v>
      </c>
      <c r="D135" s="25">
        <v>2.4300000000000002</v>
      </c>
      <c r="E135" s="21">
        <f>IF(D135="","",SUM(BASE_CALCULO!$B$3*$B$2/$B$3*D135))</f>
        <v>2.0011764705882351</v>
      </c>
      <c r="G135" s="28"/>
    </row>
    <row r="136" spans="1:7" ht="15" x14ac:dyDescent="0.25">
      <c r="A136" s="20"/>
      <c r="B136" s="20"/>
      <c r="C136" s="28" t="s">
        <v>217</v>
      </c>
      <c r="D136" s="25">
        <v>2.93</v>
      </c>
      <c r="E136" s="21">
        <f>IF(D136="","",SUM(BASE_CALCULO!$B$3*$B$2/$B$3*D136))</f>
        <v>2.4129411764705884</v>
      </c>
      <c r="G136" s="28"/>
    </row>
    <row r="137" spans="1:7" ht="15" x14ac:dyDescent="0.25">
      <c r="A137" s="20"/>
      <c r="B137" s="20"/>
      <c r="C137" s="28" t="s">
        <v>204</v>
      </c>
      <c r="D137" s="25">
        <v>1.1200000000000001</v>
      </c>
      <c r="E137" s="21">
        <f>IF(D137="","",SUM(BASE_CALCULO!$B$3*$B$2/$B$3*D137))</f>
        <v>0.9223529411764706</v>
      </c>
      <c r="G137" s="28"/>
    </row>
    <row r="138" spans="1:7" ht="15" x14ac:dyDescent="0.25">
      <c r="A138" s="20"/>
      <c r="B138" s="20"/>
      <c r="C138" s="28" t="s">
        <v>219</v>
      </c>
      <c r="D138" s="25">
        <v>3.65</v>
      </c>
      <c r="E138" s="21">
        <f>IF(D138="","",SUM(BASE_CALCULO!$B$3*$B$2/$B$3*D138))</f>
        <v>3.0058823529411764</v>
      </c>
      <c r="G138" s="28"/>
    </row>
    <row r="139" spans="1:7" ht="15" x14ac:dyDescent="0.25">
      <c r="A139" s="20"/>
      <c r="B139" s="20"/>
      <c r="C139" s="28" t="s">
        <v>221</v>
      </c>
      <c r="D139" s="25">
        <v>4.4000000000000004</v>
      </c>
      <c r="E139" s="21">
        <f>IF(D139="","",SUM(BASE_CALCULO!$B$3*$B$2/$B$3*D139))</f>
        <v>3.6235294117647059</v>
      </c>
      <c r="G139" s="28"/>
    </row>
    <row r="140" spans="1:7" ht="15" x14ac:dyDescent="0.25">
      <c r="A140" s="20"/>
      <c r="B140" s="20"/>
      <c r="C140" s="28" t="s">
        <v>207</v>
      </c>
      <c r="D140" s="25">
        <v>1.71</v>
      </c>
      <c r="E140" s="21">
        <f>IF(D140="","",SUM(BASE_CALCULO!$B$3*$B$2/$B$3*D140))</f>
        <v>1.408235294117647</v>
      </c>
      <c r="G140" s="28"/>
    </row>
    <row r="141" spans="1:7" ht="15" x14ac:dyDescent="0.25">
      <c r="A141" s="20"/>
      <c r="B141" s="20"/>
      <c r="C141" s="28" t="s">
        <v>209</v>
      </c>
      <c r="D141" s="25">
        <v>1.75</v>
      </c>
      <c r="E141" s="21">
        <f>IF(D141="","",SUM(BASE_CALCULO!$B$3*$B$2/$B$3*D141))</f>
        <v>1.4411764705882353</v>
      </c>
      <c r="G141" s="28"/>
    </row>
    <row r="142" spans="1:7" ht="15" x14ac:dyDescent="0.25">
      <c r="A142" s="20"/>
      <c r="B142" s="20"/>
      <c r="C142" s="28" t="s">
        <v>211</v>
      </c>
      <c r="D142" s="25">
        <v>2.17</v>
      </c>
      <c r="E142" s="21">
        <f>IF(D142="","",SUM(BASE_CALCULO!$B$3*$B$2/$B$3*D142))</f>
        <v>1.7870588235294116</v>
      </c>
      <c r="G142" s="28"/>
    </row>
    <row r="143" spans="1:7" ht="15" x14ac:dyDescent="0.25">
      <c r="A143" s="20"/>
      <c r="B143" s="20"/>
      <c r="C143" s="35" t="s">
        <v>129</v>
      </c>
      <c r="D143" s="25">
        <v>1.4</v>
      </c>
      <c r="E143" s="21">
        <f>IF(D143="","",SUM(BASE_CALCULO!$B$3*$B$2/$B$3*D143))</f>
        <v>1.1529411764705881</v>
      </c>
      <c r="G143" s="28"/>
    </row>
    <row r="144" spans="1:7" ht="15" x14ac:dyDescent="0.25">
      <c r="A144" s="20"/>
      <c r="B144" s="20"/>
      <c r="C144" s="28" t="s">
        <v>129</v>
      </c>
      <c r="D144" s="25">
        <v>1.1000000000000001</v>
      </c>
      <c r="E144" s="21">
        <f>IF(D144="","",SUM(BASE_CALCULO!$B$3*$B$2/$B$3*D144))</f>
        <v>0.90588235294117647</v>
      </c>
      <c r="G144" s="28"/>
    </row>
    <row r="145" spans="1:7" ht="15" x14ac:dyDescent="0.25">
      <c r="A145" s="20"/>
      <c r="B145" s="20"/>
      <c r="C145" s="35" t="s">
        <v>132</v>
      </c>
      <c r="D145" s="25">
        <v>2.4</v>
      </c>
      <c r="E145" s="21">
        <f>IF(D145="","",SUM(BASE_CALCULO!$B$3*$B$2/$B$3*D145))</f>
        <v>1.976470588235294</v>
      </c>
      <c r="G145" s="28"/>
    </row>
    <row r="146" spans="1:7" ht="15" x14ac:dyDescent="0.25">
      <c r="A146" s="20"/>
      <c r="B146" s="20"/>
      <c r="C146" s="28" t="s">
        <v>132</v>
      </c>
      <c r="D146" s="25">
        <v>2.4500000000000002</v>
      </c>
      <c r="E146" s="21">
        <f>IF(D146="","",SUM(BASE_CALCULO!$B$3*$B$2/$B$3*D146))</f>
        <v>2.0176470588235293</v>
      </c>
      <c r="G146" s="28"/>
    </row>
    <row r="147" spans="1:7" ht="15" x14ac:dyDescent="0.25">
      <c r="A147" s="20"/>
      <c r="B147" s="20"/>
      <c r="C147" s="35" t="s">
        <v>130</v>
      </c>
      <c r="D147" s="25">
        <v>1.6</v>
      </c>
      <c r="E147" s="21">
        <f>IF(D147="","",SUM(BASE_CALCULO!$B$3*$B$2/$B$3*D147))</f>
        <v>1.3176470588235294</v>
      </c>
      <c r="G147" s="28"/>
    </row>
    <row r="148" spans="1:7" ht="15" x14ac:dyDescent="0.25">
      <c r="A148" s="20"/>
      <c r="B148" s="20"/>
      <c r="C148" s="28" t="s">
        <v>130</v>
      </c>
      <c r="D148" s="25">
        <v>1.1000000000000001</v>
      </c>
      <c r="E148" s="21">
        <f>IF(D148="","",SUM(BASE_CALCULO!$B$3*$B$2/$B$3*D148))</f>
        <v>0.90588235294117647</v>
      </c>
      <c r="G148" s="28"/>
    </row>
    <row r="149" spans="1:7" ht="15" x14ac:dyDescent="0.25">
      <c r="A149" s="20"/>
      <c r="B149" s="20"/>
      <c r="C149" s="35" t="s">
        <v>133</v>
      </c>
      <c r="D149" s="25">
        <v>3.3</v>
      </c>
      <c r="E149" s="21">
        <f>IF(D149="","",SUM(BASE_CALCULO!$B$3*$B$2/$B$3*D149))</f>
        <v>2.7176470588235291</v>
      </c>
      <c r="G149" s="28"/>
    </row>
    <row r="150" spans="1:7" ht="15" x14ac:dyDescent="0.25">
      <c r="A150" s="20"/>
      <c r="B150" s="20"/>
      <c r="C150" s="28" t="s">
        <v>133</v>
      </c>
      <c r="D150" s="25">
        <v>2.8</v>
      </c>
      <c r="E150" s="21">
        <f>IF(D150="","",SUM(BASE_CALCULO!$B$3*$B$2/$B$3*D150))</f>
        <v>2.3058823529411763</v>
      </c>
      <c r="G150" s="28"/>
    </row>
    <row r="151" spans="1:7" ht="15" x14ac:dyDescent="0.25">
      <c r="A151" s="20"/>
      <c r="B151" s="20"/>
      <c r="C151" s="35" t="s">
        <v>131</v>
      </c>
      <c r="D151" s="25">
        <v>1.9</v>
      </c>
      <c r="E151" s="21">
        <f>IF(D151="","",SUM(BASE_CALCULO!$B$3*$B$2/$B$3*D151))</f>
        <v>1.5647058823529409</v>
      </c>
      <c r="G151" s="28"/>
    </row>
    <row r="152" spans="1:7" ht="15" x14ac:dyDescent="0.25">
      <c r="A152" s="20"/>
      <c r="B152" s="20"/>
      <c r="C152" s="28" t="s">
        <v>131</v>
      </c>
      <c r="D152" s="25">
        <v>1.45</v>
      </c>
      <c r="E152" s="21">
        <f>IF(D152="","",SUM(BASE_CALCULO!$B$3*$B$2/$B$3*D152))</f>
        <v>1.1941176470588235</v>
      </c>
      <c r="G152" s="28"/>
    </row>
    <row r="153" spans="1:7" ht="15" x14ac:dyDescent="0.25">
      <c r="A153" s="25"/>
      <c r="B153" s="25"/>
      <c r="C153" s="28" t="s">
        <v>234</v>
      </c>
      <c r="D153" s="25">
        <v>1.75</v>
      </c>
      <c r="E153" s="21">
        <f>IF(D153="","",SUM(BASE_CALCULO!$B$3*$B$2/$B$3*D153))</f>
        <v>1.4411764705882353</v>
      </c>
      <c r="G153" s="28"/>
    </row>
    <row r="154" spans="1:7" ht="15" x14ac:dyDescent="0.25">
      <c r="A154" s="20"/>
      <c r="B154" s="20"/>
      <c r="C154" s="28" t="s">
        <v>190</v>
      </c>
      <c r="D154" s="25">
        <v>2.6</v>
      </c>
      <c r="E154" s="21">
        <f>IF(D154="","",SUM(BASE_CALCULO!$B$3*$B$2/$B$3*D154))</f>
        <v>2.1411764705882352</v>
      </c>
      <c r="G154" s="28"/>
    </row>
    <row r="155" spans="1:7" ht="15" x14ac:dyDescent="0.25">
      <c r="A155" s="20"/>
      <c r="B155" s="20"/>
      <c r="C155" s="28" t="s">
        <v>191</v>
      </c>
      <c r="D155" s="25">
        <v>2.33</v>
      </c>
      <c r="E155" s="21">
        <f>IF(D155="","",SUM(BASE_CALCULO!$B$3*$B$2/$B$3*D155))</f>
        <v>1.9188235294117646</v>
      </c>
      <c r="G155" s="28"/>
    </row>
    <row r="156" spans="1:7" ht="15" x14ac:dyDescent="0.25">
      <c r="A156" s="20"/>
      <c r="B156" s="20"/>
      <c r="C156" s="36" t="s">
        <v>192</v>
      </c>
      <c r="D156" s="25">
        <v>2.95</v>
      </c>
      <c r="E156" s="21">
        <f>IF(D156="","",SUM(BASE_CALCULO!$B$3*$B$2/$B$3*D156))</f>
        <v>2.4294117647058826</v>
      </c>
      <c r="G156" s="28"/>
    </row>
    <row r="157" spans="1:7" ht="15.6" x14ac:dyDescent="0.25">
      <c r="A157" s="20"/>
      <c r="B157" s="20"/>
      <c r="C157" s="33" t="s">
        <v>10</v>
      </c>
      <c r="D157" s="16" t="s">
        <v>11</v>
      </c>
      <c r="E157" s="17" t="s">
        <v>8</v>
      </c>
      <c r="G157" s="28"/>
    </row>
    <row r="158" spans="1:7" ht="15" x14ac:dyDescent="0.25">
      <c r="A158" s="20"/>
      <c r="B158" s="20"/>
      <c r="C158" s="28" t="s">
        <v>200</v>
      </c>
      <c r="D158" s="25">
        <v>3.25</v>
      </c>
      <c r="E158" s="21">
        <f>IF(D158="","",SUM(BASE_CALCULO!$B$3*$B$2/$B$3*D158))</f>
        <v>2.6764705882352939</v>
      </c>
      <c r="G158" s="28"/>
    </row>
    <row r="159" spans="1:7" ht="15" x14ac:dyDescent="0.25">
      <c r="A159" s="20"/>
      <c r="B159" s="20"/>
      <c r="C159" s="28" t="s">
        <v>202</v>
      </c>
      <c r="D159" s="25">
        <v>4.25</v>
      </c>
      <c r="E159" s="21">
        <f>IF(D159="","",SUM(BASE_CALCULO!$B$3*$B$2/$B$3*D159))</f>
        <v>3.5</v>
      </c>
      <c r="G159" s="28"/>
    </row>
    <row r="160" spans="1:7" ht="15" x14ac:dyDescent="0.25">
      <c r="A160" s="20"/>
      <c r="B160" s="20"/>
      <c r="C160" s="28" t="s">
        <v>196</v>
      </c>
      <c r="D160" s="25">
        <v>1.93</v>
      </c>
      <c r="E160" s="21">
        <f>IF(D160="","",SUM(BASE_CALCULO!$B$3*$B$2/$B$3*D160))</f>
        <v>1.5894117647058823</v>
      </c>
      <c r="G160" s="28"/>
    </row>
    <row r="161" spans="1:7" ht="15" x14ac:dyDescent="0.25">
      <c r="A161" s="20"/>
      <c r="B161" s="20"/>
      <c r="C161" s="28" t="s">
        <v>198</v>
      </c>
      <c r="D161" s="25">
        <v>2.35</v>
      </c>
      <c r="E161" s="21">
        <f>IF(D161="","",SUM(BASE_CALCULO!$B$3*$B$2/$B$3*D161))</f>
        <v>1.9352941176470588</v>
      </c>
      <c r="G161" s="28"/>
    </row>
    <row r="162" spans="1:7" ht="15" x14ac:dyDescent="0.25">
      <c r="A162" s="20"/>
      <c r="B162" s="20"/>
      <c r="C162" s="28" t="s">
        <v>212</v>
      </c>
      <c r="D162" s="25">
        <v>2.72</v>
      </c>
      <c r="E162" s="21">
        <f>IF(D162="","",SUM(BASE_CALCULO!$B$3*$B$2/$B$3*D162))</f>
        <v>2.2400000000000002</v>
      </c>
      <c r="G162" s="28"/>
    </row>
    <row r="163" spans="1:7" ht="15" x14ac:dyDescent="0.25">
      <c r="A163" s="20"/>
      <c r="B163" s="20"/>
      <c r="C163" s="28" t="s">
        <v>214</v>
      </c>
      <c r="D163" s="25">
        <v>2.4300000000000002</v>
      </c>
      <c r="E163" s="21">
        <f>IF(D163="","",SUM(BASE_CALCULO!$B$3*$B$2/$B$3*D163))</f>
        <v>2.0011764705882351</v>
      </c>
      <c r="G163" s="28"/>
    </row>
    <row r="164" spans="1:7" ht="15" x14ac:dyDescent="0.25">
      <c r="A164" s="20"/>
      <c r="B164" s="20"/>
      <c r="C164" s="28" t="s">
        <v>216</v>
      </c>
      <c r="D164" s="25">
        <v>2.93</v>
      </c>
      <c r="E164" s="21">
        <f>IF(D164="","",SUM(BASE_CALCULO!$B$3*$B$2/$B$3*D164))</f>
        <v>2.4129411764705884</v>
      </c>
      <c r="G164" s="28"/>
    </row>
    <row r="165" spans="1:7" ht="15" x14ac:dyDescent="0.25">
      <c r="A165" s="20"/>
      <c r="B165" s="20"/>
      <c r="C165" s="28" t="s">
        <v>205</v>
      </c>
      <c r="D165" s="25">
        <v>1.1200000000000001</v>
      </c>
      <c r="E165" s="21">
        <f>IF(D165="","",SUM(BASE_CALCULO!$B$3*$B$2/$B$3*D165))</f>
        <v>0.9223529411764706</v>
      </c>
      <c r="G165" s="28"/>
    </row>
    <row r="166" spans="1:7" ht="15" x14ac:dyDescent="0.25">
      <c r="A166" s="20"/>
      <c r="B166" s="20"/>
      <c r="C166" s="28" t="s">
        <v>218</v>
      </c>
      <c r="D166" s="25">
        <v>3.65</v>
      </c>
      <c r="E166" s="21">
        <f>IF(D166="","",SUM(BASE_CALCULO!$B$3*$B$2/$B$3*D166))</f>
        <v>3.0058823529411764</v>
      </c>
      <c r="G166" s="28"/>
    </row>
    <row r="167" spans="1:7" ht="15" x14ac:dyDescent="0.25">
      <c r="A167" s="20"/>
      <c r="B167" s="20"/>
      <c r="C167" s="28" t="s">
        <v>220</v>
      </c>
      <c r="D167" s="20">
        <v>4.4000000000000004</v>
      </c>
      <c r="E167" s="21">
        <f>IF(D167="","",SUM(BASE_CALCULO!$B$3*$B$2/$B$3*D167))</f>
        <v>3.6235294117647059</v>
      </c>
      <c r="G167" s="28"/>
    </row>
    <row r="168" spans="1:7" ht="15" x14ac:dyDescent="0.25">
      <c r="A168" s="20"/>
      <c r="B168" s="20"/>
      <c r="C168" s="28" t="s">
        <v>206</v>
      </c>
      <c r="D168" s="20">
        <v>1.71</v>
      </c>
      <c r="E168" s="21">
        <f>IF(D168="","",SUM(BASE_CALCULO!$B$3*$B$2/$B$3*D168))</f>
        <v>1.408235294117647</v>
      </c>
      <c r="G168" s="28"/>
    </row>
    <row r="169" spans="1:7" ht="15" x14ac:dyDescent="0.25">
      <c r="A169" s="20"/>
      <c r="B169" s="20"/>
      <c r="C169" s="28" t="s">
        <v>208</v>
      </c>
      <c r="D169" s="20">
        <v>1.75</v>
      </c>
      <c r="E169" s="21">
        <f>IF(D169="","",SUM(BASE_CALCULO!$B$3*$B$2/$B$3*D169))</f>
        <v>1.4411764705882353</v>
      </c>
      <c r="G169" s="28"/>
    </row>
    <row r="170" spans="1:7" ht="15" x14ac:dyDescent="0.25">
      <c r="A170" s="20"/>
      <c r="B170" s="20"/>
      <c r="C170" s="28" t="s">
        <v>210</v>
      </c>
      <c r="D170" s="20">
        <v>2.17</v>
      </c>
      <c r="E170" s="21">
        <f>IF(D170="","",SUM(BASE_CALCULO!$B$3*$B$2/$B$3*D170))</f>
        <v>1.7870588235294116</v>
      </c>
      <c r="G170" s="28"/>
    </row>
    <row r="171" spans="1:7" ht="15" x14ac:dyDescent="0.25">
      <c r="A171" s="20"/>
      <c r="B171" s="20"/>
      <c r="C171" s="35" t="s">
        <v>123</v>
      </c>
      <c r="D171" s="20">
        <v>1.3</v>
      </c>
      <c r="E171" s="21">
        <f>IF(D171="","",SUM(BASE_CALCULO!$B$3*$B$2/$B$3*D171))</f>
        <v>1.0705882352941176</v>
      </c>
      <c r="G171" s="28"/>
    </row>
    <row r="172" spans="1:7" ht="15" x14ac:dyDescent="0.25">
      <c r="A172" s="20"/>
      <c r="B172" s="20"/>
      <c r="C172" s="37" t="s">
        <v>123</v>
      </c>
      <c r="D172" s="20">
        <v>0.95</v>
      </c>
      <c r="E172" s="21">
        <f>IF(D172="","",SUM(BASE_CALCULO!$B$3*$B$2/$B$3*D172))</f>
        <v>0.78235294117647047</v>
      </c>
      <c r="G172" s="28"/>
    </row>
    <row r="173" spans="1:7" ht="15" x14ac:dyDescent="0.25">
      <c r="A173" s="20"/>
      <c r="B173" s="20"/>
      <c r="C173" s="37" t="s">
        <v>123</v>
      </c>
      <c r="D173" s="20">
        <v>0.95</v>
      </c>
      <c r="E173" s="21">
        <f>IF(D173="","",SUM(BASE_CALCULO!$B$3*$B$2/$B$3*D173))</f>
        <v>0.78235294117647047</v>
      </c>
      <c r="G173" s="28"/>
    </row>
    <row r="174" spans="1:7" ht="15" x14ac:dyDescent="0.25">
      <c r="A174" s="20"/>
      <c r="B174" s="20"/>
      <c r="C174" s="35" t="s">
        <v>128</v>
      </c>
      <c r="D174" s="20">
        <v>2.35</v>
      </c>
      <c r="E174" s="21">
        <f>IF(D174="","",SUM(BASE_CALCULO!$B$3*$B$2/$B$3*D174))</f>
        <v>1.9352941176470588</v>
      </c>
      <c r="G174" s="28"/>
    </row>
    <row r="175" spans="1:7" ht="15" x14ac:dyDescent="0.25">
      <c r="A175" s="20"/>
      <c r="B175" s="20"/>
      <c r="C175" s="37" t="s">
        <v>128</v>
      </c>
      <c r="D175" s="20">
        <v>1.35</v>
      </c>
      <c r="E175" s="21">
        <f>IF(D175="","",SUM(BASE_CALCULO!$B$3*$B$2/$B$3*D175))</f>
        <v>1.111764705882353</v>
      </c>
      <c r="G175" s="28"/>
    </row>
    <row r="176" spans="1:7" ht="15" x14ac:dyDescent="0.25">
      <c r="A176" s="20"/>
      <c r="B176" s="20"/>
      <c r="C176" s="35" t="s">
        <v>124</v>
      </c>
      <c r="D176" s="20">
        <v>1.55</v>
      </c>
      <c r="E176" s="21">
        <f>IF(D176="","",SUM(BASE_CALCULO!$B$3*$B$2/$B$3*D176))</f>
        <v>1.276470588235294</v>
      </c>
    </row>
    <row r="177" spans="1:5" ht="15" x14ac:dyDescent="0.25">
      <c r="A177" s="20"/>
      <c r="B177" s="20"/>
      <c r="C177" s="37" t="s">
        <v>124</v>
      </c>
      <c r="D177" s="20">
        <v>0.8</v>
      </c>
      <c r="E177" s="21">
        <f>IF(D177="","",SUM(BASE_CALCULO!$B$3*$B$2/$B$3*D177))</f>
        <v>0.6588235294117647</v>
      </c>
    </row>
    <row r="178" spans="1:5" ht="15" x14ac:dyDescent="0.25">
      <c r="A178" s="25"/>
      <c r="B178" s="25"/>
      <c r="C178" s="35" t="s">
        <v>125</v>
      </c>
      <c r="D178" s="25">
        <v>2.35</v>
      </c>
      <c r="E178" s="21">
        <f>IF(D178="","",SUM(BASE_CALCULO!$B$3*$B$2/$B$3*D178))</f>
        <v>1.9352941176470588</v>
      </c>
    </row>
    <row r="179" spans="1:5" ht="15" x14ac:dyDescent="0.25">
      <c r="A179" s="25"/>
      <c r="B179" s="25"/>
      <c r="C179" s="37" t="s">
        <v>125</v>
      </c>
      <c r="D179" s="25">
        <v>1.05</v>
      </c>
      <c r="E179" s="21">
        <f>IF(D179="","",SUM(BASE_CALCULO!$B$3*$B$2/$B$3*D179))</f>
        <v>0.86470588235294121</v>
      </c>
    </row>
    <row r="180" spans="1:5" ht="15" x14ac:dyDescent="0.25">
      <c r="A180" s="25"/>
      <c r="B180" s="25"/>
      <c r="C180" s="35" t="s">
        <v>126</v>
      </c>
      <c r="D180" s="25">
        <v>2</v>
      </c>
      <c r="E180" s="21">
        <f>IF(D180="","",SUM(BASE_CALCULO!$B$3*$B$2/$B$3*D180))</f>
        <v>1.6470588235294117</v>
      </c>
    </row>
    <row r="181" spans="1:5" ht="15" x14ac:dyDescent="0.25">
      <c r="A181" s="25"/>
      <c r="B181" s="25"/>
      <c r="C181" s="37" t="s">
        <v>126</v>
      </c>
      <c r="D181" s="25">
        <v>1.05</v>
      </c>
      <c r="E181" s="21">
        <f>IF(D181="","",SUM(BASE_CALCULO!$B$3*$B$2/$B$3*D181))</f>
        <v>0.86470588235294121</v>
      </c>
    </row>
    <row r="182" spans="1:5" ht="15" x14ac:dyDescent="0.25">
      <c r="A182" s="25"/>
      <c r="B182" s="25"/>
      <c r="C182" s="35" t="s">
        <v>127</v>
      </c>
      <c r="D182" s="25">
        <v>2.35</v>
      </c>
      <c r="E182" s="21">
        <f>IF(D182="","",SUM(BASE_CALCULO!$B$3*$B$2/$B$3*D182))</f>
        <v>1.9352941176470588</v>
      </c>
    </row>
    <row r="183" spans="1:5" ht="15" x14ac:dyDescent="0.25">
      <c r="A183" s="25"/>
      <c r="B183" s="25"/>
      <c r="C183" s="37" t="s">
        <v>127</v>
      </c>
      <c r="D183" s="25">
        <v>1.35</v>
      </c>
      <c r="E183" s="21">
        <f>IF(D183="","",SUM(BASE_CALCULO!$B$3*$B$2/$B$3*D183))</f>
        <v>1.111764705882353</v>
      </c>
    </row>
    <row r="184" spans="1:5" ht="15" x14ac:dyDescent="0.25">
      <c r="A184" s="25"/>
      <c r="B184" s="25"/>
      <c r="C184" s="35" t="s">
        <v>143</v>
      </c>
      <c r="D184" s="25">
        <v>5.75</v>
      </c>
      <c r="E184" s="21">
        <f>IF(D184="","",SUM(BASE_CALCULO!$B$3*$B$2/$B$3*D184))</f>
        <v>4.7352941176470589</v>
      </c>
    </row>
    <row r="185" spans="1:5" ht="15" x14ac:dyDescent="0.25">
      <c r="A185" s="25"/>
      <c r="B185" s="25"/>
      <c r="C185" s="28" t="s">
        <v>143</v>
      </c>
      <c r="D185" s="25">
        <v>15.5</v>
      </c>
      <c r="E185" s="21">
        <f>IF(D185="","",SUM(BASE_CALCULO!$B$3*$B$2/$B$3*D185))</f>
        <v>12.76470588235294</v>
      </c>
    </row>
    <row r="186" spans="1:5" ht="15" x14ac:dyDescent="0.25">
      <c r="A186" s="20"/>
      <c r="B186" s="20"/>
      <c r="C186" s="35" t="s">
        <v>144</v>
      </c>
      <c r="D186" s="20">
        <v>6.15</v>
      </c>
      <c r="E186" s="21">
        <f>IF(D186="","",SUM(BASE_CALCULO!$B$3*$B$2/$B$3*D186))</f>
        <v>5.0647058823529409</v>
      </c>
    </row>
    <row r="187" spans="1:5" ht="15" x14ac:dyDescent="0.25">
      <c r="A187" s="20"/>
      <c r="B187" s="20"/>
      <c r="C187" s="28" t="s">
        <v>144</v>
      </c>
      <c r="D187" s="20">
        <v>18.5</v>
      </c>
      <c r="E187" s="21">
        <f>IF(D187="","",SUM(BASE_CALCULO!$B$3*$B$2/$B$3*D187))</f>
        <v>15.235294117647058</v>
      </c>
    </row>
    <row r="188" spans="1:5" ht="15" x14ac:dyDescent="0.25">
      <c r="A188" s="20"/>
      <c r="B188" s="20"/>
      <c r="C188" s="35" t="s">
        <v>145</v>
      </c>
      <c r="D188" s="20">
        <v>6.65</v>
      </c>
      <c r="E188" s="21">
        <f>IF(D188="","",SUM(BASE_CALCULO!$B$3*$B$2/$B$3*D188))</f>
        <v>5.4764705882352942</v>
      </c>
    </row>
    <row r="189" spans="1:5" ht="15" x14ac:dyDescent="0.25">
      <c r="A189" s="20"/>
      <c r="B189" s="20"/>
      <c r="C189" s="28" t="s">
        <v>145</v>
      </c>
      <c r="D189" s="20">
        <v>21.6</v>
      </c>
      <c r="E189" s="21">
        <f>IF(D189="","",SUM(BASE_CALCULO!$B$3*$B$2/$B$3*D189))</f>
        <v>17.788235294117648</v>
      </c>
    </row>
    <row r="190" spans="1:5" ht="15" x14ac:dyDescent="0.25">
      <c r="A190" s="20"/>
      <c r="B190" s="20"/>
      <c r="C190" s="35" t="s">
        <v>146</v>
      </c>
      <c r="D190" s="20">
        <v>7.17</v>
      </c>
      <c r="E190" s="21">
        <f>IF(D190="","",SUM(BASE_CALCULO!$B$3*$B$2/$B$3*D190))</f>
        <v>5.9047058823529408</v>
      </c>
    </row>
    <row r="191" spans="1:5" ht="15" x14ac:dyDescent="0.25">
      <c r="A191" s="20"/>
      <c r="B191" s="20"/>
      <c r="C191" s="28" t="s">
        <v>146</v>
      </c>
      <c r="D191" s="20">
        <v>24.7</v>
      </c>
      <c r="E191" s="21">
        <f>IF(D191="","",SUM(BASE_CALCULO!$B$3*$B$2/$B$3*D191))</f>
        <v>20.341176470588234</v>
      </c>
    </row>
    <row r="192" spans="1:5" ht="15" x14ac:dyDescent="0.25">
      <c r="A192" s="20"/>
      <c r="B192" s="20"/>
      <c r="C192" s="35" t="s">
        <v>141</v>
      </c>
      <c r="D192" s="20">
        <v>4.5999999999999996</v>
      </c>
      <c r="E192" s="21">
        <f>IF(D192="","",SUM(BASE_CALCULO!$B$3*$B$2/$B$3*D192))</f>
        <v>3.7882352941176465</v>
      </c>
    </row>
    <row r="193" spans="1:5" ht="15" x14ac:dyDescent="0.25">
      <c r="A193" s="20"/>
      <c r="B193" s="20"/>
      <c r="C193" s="28" t="s">
        <v>141</v>
      </c>
      <c r="D193" s="20">
        <v>6.2</v>
      </c>
      <c r="E193" s="21">
        <f>IF(D193="","",SUM(BASE_CALCULO!$B$3*$B$2/$B$3*D193))</f>
        <v>5.1058823529411761</v>
      </c>
    </row>
    <row r="194" spans="1:5" ht="15" x14ac:dyDescent="0.25">
      <c r="A194" s="20"/>
      <c r="B194" s="20"/>
      <c r="C194" s="35" t="s">
        <v>142</v>
      </c>
      <c r="D194" s="25">
        <v>6.05</v>
      </c>
      <c r="E194" s="21">
        <f>IF(D194="","",SUM(BASE_CALCULO!$B$3*$B$2/$B$3*D194))</f>
        <v>4.9823529411764698</v>
      </c>
    </row>
    <row r="195" spans="1:5" ht="15" x14ac:dyDescent="0.25">
      <c r="A195" s="20"/>
      <c r="B195" s="20"/>
      <c r="C195" s="28" t="s">
        <v>142</v>
      </c>
      <c r="D195" s="25">
        <v>10.8</v>
      </c>
      <c r="E195" s="21">
        <f>IF(D195="","",SUM(BASE_CALCULO!$B$3*$B$2/$B$3*D195))</f>
        <v>8.8941176470588239</v>
      </c>
    </row>
    <row r="196" spans="1:5" ht="30" x14ac:dyDescent="0.25">
      <c r="A196" s="20"/>
      <c r="B196" s="20"/>
      <c r="C196" s="34" t="s">
        <v>102</v>
      </c>
      <c r="D196" s="25">
        <v>5.2</v>
      </c>
      <c r="E196" s="21">
        <f>IF(D196="","",SUM(BASE_CALCULO!$B$3*$B$2/$B$3*D196))</f>
        <v>4.2823529411764705</v>
      </c>
    </row>
    <row r="197" spans="1:5" ht="15" x14ac:dyDescent="0.25">
      <c r="A197" s="20"/>
      <c r="B197" s="20"/>
      <c r="C197" s="28" t="s">
        <v>102</v>
      </c>
      <c r="D197" s="25">
        <v>5.2</v>
      </c>
      <c r="E197" s="21">
        <f>IF(D197="","",SUM(BASE_CALCULO!$B$3*$B$2/$B$3*D197))</f>
        <v>4.2823529411764705</v>
      </c>
    </row>
    <row r="198" spans="1:5" ht="30" x14ac:dyDescent="0.25">
      <c r="A198" s="20"/>
      <c r="B198" s="20"/>
      <c r="C198" s="34" t="s">
        <v>103</v>
      </c>
      <c r="D198" s="25">
        <v>3.84</v>
      </c>
      <c r="E198" s="21">
        <f>IF(D198="","",SUM(BASE_CALCULO!$B$3*$B$2/$B$3*D198))</f>
        <v>3.1623529411764704</v>
      </c>
    </row>
    <row r="199" spans="1:5" ht="15" x14ac:dyDescent="0.25">
      <c r="A199" s="20"/>
      <c r="B199" s="20"/>
      <c r="C199" s="28" t="s">
        <v>103</v>
      </c>
      <c r="D199" s="25">
        <v>3.85</v>
      </c>
      <c r="E199" s="21">
        <f>IF(D199="","",SUM(BASE_CALCULO!$B$3*$B$2/$B$3*D199))</f>
        <v>3.1705882352941175</v>
      </c>
    </row>
    <row r="200" spans="1:5" ht="30" x14ac:dyDescent="0.25">
      <c r="A200" s="20"/>
      <c r="B200" s="20"/>
      <c r="C200" s="34" t="s">
        <v>104</v>
      </c>
      <c r="D200" s="25">
        <v>4.83</v>
      </c>
      <c r="E200" s="21">
        <f>IF(D200="","",SUM(BASE_CALCULO!$B$3*$B$2/$B$3*D200))</f>
        <v>3.9776470588235293</v>
      </c>
    </row>
    <row r="201" spans="1:5" ht="15" x14ac:dyDescent="0.25">
      <c r="A201" s="20"/>
      <c r="B201" s="20"/>
      <c r="C201" s="28" t="s">
        <v>104</v>
      </c>
      <c r="D201" s="25">
        <v>4.8499999999999996</v>
      </c>
      <c r="E201" s="21">
        <f>IF(D201="","",SUM(BASE_CALCULO!$B$3*$B$2/$B$3*D201))</f>
        <v>3.9941176470588231</v>
      </c>
    </row>
    <row r="202" spans="1:5" ht="30" x14ac:dyDescent="0.25">
      <c r="A202" s="20"/>
      <c r="B202" s="20"/>
      <c r="C202" s="34" t="s">
        <v>105</v>
      </c>
      <c r="D202" s="25">
        <v>5.85</v>
      </c>
      <c r="E202" s="21">
        <f>IF(D202="","",SUM(BASE_CALCULO!$B$3*$B$2/$B$3*D202))</f>
        <v>4.8176470588235292</v>
      </c>
    </row>
    <row r="203" spans="1:5" ht="15" x14ac:dyDescent="0.25">
      <c r="A203" s="20"/>
      <c r="B203" s="20"/>
      <c r="C203" s="28" t="s">
        <v>105</v>
      </c>
      <c r="D203" s="25">
        <v>5.85</v>
      </c>
      <c r="E203" s="21">
        <f>IF(D203="","",SUM(BASE_CALCULO!$B$3*$B$2/$B$3*D203))</f>
        <v>4.8176470588235292</v>
      </c>
    </row>
    <row r="204" spans="1:5" ht="30" x14ac:dyDescent="0.25">
      <c r="A204" s="20"/>
      <c r="B204" s="20"/>
      <c r="C204" s="34" t="s">
        <v>106</v>
      </c>
      <c r="D204" s="25">
        <v>5.13</v>
      </c>
      <c r="E204" s="21">
        <f>IF(D204="","",SUM(BASE_CALCULO!$B$3*$B$2/$B$3*D204))</f>
        <v>4.2247058823529411</v>
      </c>
    </row>
    <row r="205" spans="1:5" ht="15" x14ac:dyDescent="0.25">
      <c r="A205" s="20"/>
      <c r="B205" s="20"/>
      <c r="C205" s="28" t="s">
        <v>106</v>
      </c>
      <c r="D205" s="25">
        <v>5.15</v>
      </c>
      <c r="E205" s="21">
        <f>IF(D205="","",SUM(BASE_CALCULO!$B$3*$B$2/$B$3*D205))</f>
        <v>4.2411764705882353</v>
      </c>
    </row>
    <row r="206" spans="1:5" ht="30" x14ac:dyDescent="0.25">
      <c r="A206" s="20"/>
      <c r="B206" s="20"/>
      <c r="C206" s="34" t="s">
        <v>107</v>
      </c>
      <c r="D206" s="25">
        <v>5.84</v>
      </c>
      <c r="E206" s="21">
        <f>IF(D206="","",SUM(BASE_CALCULO!$B$3*$B$2/$B$3*D206))</f>
        <v>4.8094117647058816</v>
      </c>
    </row>
    <row r="207" spans="1:5" ht="15" x14ac:dyDescent="0.25">
      <c r="A207" s="20"/>
      <c r="B207" s="20"/>
      <c r="C207" s="28" t="s">
        <v>107</v>
      </c>
      <c r="D207" s="25">
        <v>5.85</v>
      </c>
      <c r="E207" s="21">
        <f>IF(D207="","",SUM(BASE_CALCULO!$B$3*$B$2/$B$3*D207))</f>
        <v>4.8176470588235292</v>
      </c>
    </row>
    <row r="208" spans="1:5" ht="30" x14ac:dyDescent="0.25">
      <c r="A208" s="20"/>
      <c r="B208" s="20"/>
      <c r="C208" s="34" t="s">
        <v>108</v>
      </c>
      <c r="D208" s="25">
        <v>6.55</v>
      </c>
      <c r="E208" s="21">
        <f>IF(D208="","",SUM(BASE_CALCULO!$B$3*$B$2/$B$3*D208))</f>
        <v>5.394117647058823</v>
      </c>
    </row>
    <row r="209" spans="1:5" ht="15" x14ac:dyDescent="0.25">
      <c r="A209" s="20"/>
      <c r="B209" s="20"/>
      <c r="C209" s="28" t="s">
        <v>108</v>
      </c>
      <c r="D209" s="20">
        <v>6.55</v>
      </c>
      <c r="E209" s="21">
        <f>IF(D209="","",SUM(BASE_CALCULO!$B$3*$B$2/$B$3*D209))</f>
        <v>5.394117647058823</v>
      </c>
    </row>
    <row r="210" spans="1:5" ht="30" x14ac:dyDescent="0.25">
      <c r="A210" s="20"/>
      <c r="B210" s="20"/>
      <c r="C210" s="34" t="s">
        <v>109</v>
      </c>
      <c r="D210" s="20">
        <v>7.25</v>
      </c>
      <c r="E210" s="21">
        <f>IF(D210="","",SUM(BASE_CALCULO!$B$3*$B$2/$B$3*D210))</f>
        <v>5.9705882352941178</v>
      </c>
    </row>
    <row r="211" spans="1:5" ht="15" x14ac:dyDescent="0.25">
      <c r="A211" s="20"/>
      <c r="B211" s="20"/>
      <c r="C211" s="28" t="s">
        <v>109</v>
      </c>
      <c r="D211" s="20">
        <v>7.25</v>
      </c>
      <c r="E211" s="21">
        <f>IF(D211="","",SUM(BASE_CALCULO!$B$3*$B$2/$B$3*D211))</f>
        <v>5.9705882352941178</v>
      </c>
    </row>
    <row r="212" spans="1:5" ht="15" x14ac:dyDescent="0.25">
      <c r="A212" s="20"/>
      <c r="B212" s="20"/>
      <c r="C212" s="34" t="s">
        <v>112</v>
      </c>
      <c r="D212" s="20">
        <v>3.25</v>
      </c>
      <c r="E212" s="21">
        <f>IF(D212="","",SUM(BASE_CALCULO!$B$3*$B$2/$B$3*D212))</f>
        <v>2.6764705882352939</v>
      </c>
    </row>
    <row r="213" spans="1:5" ht="15" x14ac:dyDescent="0.25">
      <c r="A213" s="20"/>
      <c r="B213" s="20"/>
      <c r="C213" s="28" t="s">
        <v>112</v>
      </c>
      <c r="D213" s="20">
        <v>3.25</v>
      </c>
      <c r="E213" s="21">
        <f>IF(D213="","",SUM(BASE_CALCULO!$B$3*$B$2/$B$3*D213))</f>
        <v>2.6764705882352939</v>
      </c>
    </row>
    <row r="214" spans="1:5" ht="15" x14ac:dyDescent="0.25">
      <c r="A214" s="20"/>
      <c r="B214" s="20"/>
      <c r="C214" s="34" t="s">
        <v>113</v>
      </c>
      <c r="D214" s="20">
        <v>4.25</v>
      </c>
      <c r="E214" s="21">
        <f>IF(D214="","",SUM(BASE_CALCULO!$B$3*$B$2/$B$3*D214))</f>
        <v>3.5</v>
      </c>
    </row>
    <row r="215" spans="1:5" ht="15" x14ac:dyDescent="0.25">
      <c r="A215" s="20"/>
      <c r="B215" s="20"/>
      <c r="C215" s="28" t="s">
        <v>113</v>
      </c>
      <c r="D215" s="20">
        <v>4.25</v>
      </c>
      <c r="E215" s="21">
        <f>IF(D215="","",SUM(BASE_CALCULO!$B$3*$B$2/$B$3*D215))</f>
        <v>3.5</v>
      </c>
    </row>
    <row r="216" spans="1:5" ht="15" x14ac:dyDescent="0.25">
      <c r="A216" s="20"/>
      <c r="B216" s="20"/>
      <c r="C216" s="34" t="s">
        <v>110</v>
      </c>
      <c r="D216" s="20">
        <v>1.93</v>
      </c>
      <c r="E216" s="21">
        <f>IF(D216="","",SUM(BASE_CALCULO!$B$3*$B$2/$B$3*D216))</f>
        <v>1.5894117647058823</v>
      </c>
    </row>
    <row r="217" spans="1:5" ht="15" x14ac:dyDescent="0.25">
      <c r="A217" s="20"/>
      <c r="B217" s="20"/>
      <c r="C217" s="28" t="s">
        <v>110</v>
      </c>
      <c r="D217" s="20">
        <v>1.93</v>
      </c>
      <c r="E217" s="21">
        <f>IF(D217="","",SUM(BASE_CALCULO!$B$3*$B$2/$B$3*D217))</f>
        <v>1.5894117647058823</v>
      </c>
    </row>
    <row r="218" spans="1:5" ht="15" x14ac:dyDescent="0.25">
      <c r="A218" s="20"/>
      <c r="B218" s="20"/>
      <c r="C218" s="34" t="s">
        <v>111</v>
      </c>
      <c r="D218" s="20">
        <v>2.35</v>
      </c>
      <c r="E218" s="21">
        <f>IF(D218="","",SUM(BASE_CALCULO!$B$3*$B$2/$B$3*D218))</f>
        <v>1.9352941176470588</v>
      </c>
    </row>
    <row r="219" spans="1:5" ht="15" x14ac:dyDescent="0.25">
      <c r="A219" s="20"/>
      <c r="B219" s="20"/>
      <c r="C219" s="28" t="s">
        <v>111</v>
      </c>
      <c r="D219" s="20">
        <v>2.35</v>
      </c>
      <c r="E219" s="21">
        <f>IF(D219="","",SUM(BASE_CALCULO!$B$3*$B$2/$B$3*D219))</f>
        <v>1.9352941176470588</v>
      </c>
    </row>
    <row r="220" spans="1:5" ht="30" x14ac:dyDescent="0.25">
      <c r="A220" s="20"/>
      <c r="B220" s="20"/>
      <c r="C220" s="36" t="s">
        <v>175</v>
      </c>
      <c r="D220" s="20">
        <v>2</v>
      </c>
      <c r="E220" s="21">
        <f>IF(D220="","",SUM(BASE_CALCULO!$B$3*$B$2/$B$3*D220))</f>
        <v>1.6470588235294117</v>
      </c>
    </row>
    <row r="221" spans="1:5" ht="30" x14ac:dyDescent="0.25">
      <c r="A221" s="20"/>
      <c r="B221" s="20"/>
      <c r="C221" s="36" t="s">
        <v>177</v>
      </c>
      <c r="D221" s="20">
        <v>2</v>
      </c>
      <c r="E221" s="21">
        <f>IF(D221="","",SUM(BASE_CALCULO!$B$3*$B$2/$B$3*D221))</f>
        <v>1.6470588235294117</v>
      </c>
    </row>
    <row r="222" spans="1:5" ht="30" x14ac:dyDescent="0.25">
      <c r="A222" s="20"/>
      <c r="B222" s="20"/>
      <c r="C222" s="36" t="s">
        <v>176</v>
      </c>
      <c r="D222" s="20">
        <v>2</v>
      </c>
      <c r="E222" s="21">
        <f>IF(D222="","",SUM(BASE_CALCULO!$B$3*$B$2/$B$3*D222))</f>
        <v>1.6470588235294117</v>
      </c>
    </row>
    <row r="223" spans="1:5" ht="30" x14ac:dyDescent="0.25">
      <c r="A223" s="20"/>
      <c r="B223" s="20"/>
      <c r="C223" s="36" t="s">
        <v>178</v>
      </c>
      <c r="D223" s="20">
        <v>1.67</v>
      </c>
      <c r="E223" s="21">
        <f>IF(D223="","",SUM(BASE_CALCULO!$B$3*$B$2/$B$3*D223))</f>
        <v>1.3752941176470588</v>
      </c>
    </row>
    <row r="224" spans="1:5" ht="15" x14ac:dyDescent="0.25">
      <c r="A224" s="20"/>
      <c r="B224" s="20"/>
      <c r="C224" s="34" t="s">
        <v>40</v>
      </c>
      <c r="D224" s="24">
        <v>5.2</v>
      </c>
      <c r="E224" s="21">
        <f>IF(D224="","",SUM(BASE_CALCULO!$B$3*$B$2/$B$3*D224))</f>
        <v>4.2823529411764705</v>
      </c>
    </row>
    <row r="225" spans="1:5" ht="15" x14ac:dyDescent="0.25">
      <c r="A225" s="20"/>
      <c r="B225" s="20"/>
      <c r="C225" s="28" t="s">
        <v>40</v>
      </c>
      <c r="D225" s="20">
        <v>5.2</v>
      </c>
      <c r="E225" s="21">
        <f>IF(D225="","",SUM(BASE_CALCULO!$B$3*$B$2/$B$3*D225))</f>
        <v>4.2823529411764705</v>
      </c>
    </row>
    <row r="226" spans="1:5" ht="15" x14ac:dyDescent="0.25">
      <c r="A226" s="20"/>
      <c r="B226" s="20"/>
      <c r="C226" s="34" t="s">
        <v>58</v>
      </c>
      <c r="D226" s="20">
        <v>15</v>
      </c>
      <c r="E226" s="21">
        <f>IF(D226="","",SUM(BASE_CALCULO!$B$3*$B$2/$B$3*D226))</f>
        <v>12.352941176470587</v>
      </c>
    </row>
    <row r="227" spans="1:5" ht="15" x14ac:dyDescent="0.25">
      <c r="A227" s="20"/>
      <c r="B227" s="20"/>
      <c r="C227" s="28" t="s">
        <v>58</v>
      </c>
      <c r="D227" s="20">
        <v>3.15</v>
      </c>
      <c r="E227" s="21">
        <f>IF(D227="","",SUM(BASE_CALCULO!$B$3*$B$2/$B$3*D227))</f>
        <v>2.5941176470588232</v>
      </c>
    </row>
    <row r="228" spans="1:5" ht="15" x14ac:dyDescent="0.25">
      <c r="A228" s="20"/>
      <c r="B228" s="20"/>
      <c r="C228" s="34" t="s">
        <v>41</v>
      </c>
      <c r="D228" s="24">
        <v>3.85</v>
      </c>
      <c r="E228" s="21">
        <f>IF(D228="","",SUM(BASE_CALCULO!$B$3*$B$2/$B$3*D228))</f>
        <v>3.1705882352941175</v>
      </c>
    </row>
    <row r="229" spans="1:5" ht="15" x14ac:dyDescent="0.25">
      <c r="A229" s="20"/>
      <c r="B229" s="20"/>
      <c r="C229" s="28" t="s">
        <v>41</v>
      </c>
      <c r="D229" s="20">
        <v>2.65</v>
      </c>
      <c r="E229" s="21">
        <f>IF(D229="","",SUM(BASE_CALCULO!$B$3*$B$2/$B$3*D229))</f>
        <v>2.1823529411764704</v>
      </c>
    </row>
    <row r="230" spans="1:5" ht="15" x14ac:dyDescent="0.25">
      <c r="A230" s="20"/>
      <c r="B230" s="20"/>
      <c r="C230" s="34" t="s">
        <v>37</v>
      </c>
      <c r="D230" s="24">
        <v>1.7</v>
      </c>
      <c r="E230" s="21">
        <f>IF(D230="","",SUM(BASE_CALCULO!$B$3*$B$2/$B$3*D230))</f>
        <v>1.4</v>
      </c>
    </row>
    <row r="231" spans="1:5" ht="15" x14ac:dyDescent="0.25">
      <c r="A231" s="20"/>
      <c r="B231" s="20"/>
      <c r="C231" s="28" t="s">
        <v>37</v>
      </c>
      <c r="D231" s="20">
        <v>2</v>
      </c>
      <c r="E231" s="21">
        <f>IF(D231="","",SUM(BASE_CALCULO!$B$3*$B$2/$B$3*D231))</f>
        <v>1.6470588235294117</v>
      </c>
    </row>
    <row r="232" spans="1:5" ht="15" x14ac:dyDescent="0.25">
      <c r="A232" s="20"/>
      <c r="B232" s="20"/>
      <c r="C232" s="34" t="s">
        <v>42</v>
      </c>
      <c r="D232" s="24">
        <v>4.8499999999999996</v>
      </c>
      <c r="E232" s="21">
        <f>IF(D232="","",SUM(BASE_CALCULO!$B$3*$B$2/$B$3*D232))</f>
        <v>3.9941176470588231</v>
      </c>
    </row>
    <row r="233" spans="1:5" ht="15" x14ac:dyDescent="0.25">
      <c r="A233" s="20"/>
      <c r="B233" s="20"/>
      <c r="C233" s="28" t="s">
        <v>42</v>
      </c>
      <c r="D233" s="20">
        <v>2.65</v>
      </c>
      <c r="E233" s="21">
        <f>IF(D233="","",SUM(BASE_CALCULO!$B$3*$B$2/$B$3*D233))</f>
        <v>2.1823529411764704</v>
      </c>
    </row>
    <row r="234" spans="1:5" ht="15" x14ac:dyDescent="0.25">
      <c r="A234" s="20"/>
      <c r="B234" s="20"/>
      <c r="C234" s="34" t="s">
        <v>43</v>
      </c>
      <c r="D234" s="24">
        <v>5.85</v>
      </c>
      <c r="E234" s="21">
        <f>IF(D234="","",SUM(BASE_CALCULO!$B$3*$B$2/$B$3*D234))</f>
        <v>4.8176470588235292</v>
      </c>
    </row>
    <row r="235" spans="1:5" ht="15" x14ac:dyDescent="0.25">
      <c r="A235" s="20"/>
      <c r="B235" s="20"/>
      <c r="C235" s="28" t="s">
        <v>43</v>
      </c>
      <c r="D235" s="20">
        <v>2.65</v>
      </c>
      <c r="E235" s="21">
        <f>IF(D235="","",SUM(BASE_CALCULO!$B$3*$B$2/$B$3*D235))</f>
        <v>2.1823529411764704</v>
      </c>
    </row>
    <row r="236" spans="1:5" ht="15" x14ac:dyDescent="0.25">
      <c r="A236" s="20"/>
      <c r="B236" s="20"/>
      <c r="C236" s="34" t="s">
        <v>44</v>
      </c>
      <c r="D236" s="24">
        <v>5.15</v>
      </c>
      <c r="E236" s="21">
        <f>IF(D236="","",SUM(BASE_CALCULO!$B$3*$B$2/$B$3*D236))</f>
        <v>4.2411764705882353</v>
      </c>
    </row>
    <row r="237" spans="1:5" ht="15" x14ac:dyDescent="0.25">
      <c r="A237" s="20"/>
      <c r="B237" s="20"/>
      <c r="C237" s="28" t="s">
        <v>44</v>
      </c>
      <c r="D237" s="20">
        <v>3.15</v>
      </c>
      <c r="E237" s="21">
        <f>IF(D237="","",SUM(BASE_CALCULO!$B$3*$B$2/$B$3*D237))</f>
        <v>2.5941176470588232</v>
      </c>
    </row>
    <row r="238" spans="1:5" ht="15" x14ac:dyDescent="0.25">
      <c r="A238" s="20"/>
      <c r="B238" s="20"/>
      <c r="C238" s="34" t="s">
        <v>45</v>
      </c>
      <c r="D238" s="24">
        <v>5.85</v>
      </c>
      <c r="E238" s="21">
        <f>IF(D238="","",SUM(BASE_CALCULO!$B$3*$B$2/$B$3*D238))</f>
        <v>4.8176470588235292</v>
      </c>
    </row>
    <row r="239" spans="1:5" ht="15" x14ac:dyDescent="0.25">
      <c r="A239" s="20"/>
      <c r="B239" s="20"/>
      <c r="C239" s="28" t="s">
        <v>45</v>
      </c>
      <c r="D239" s="20">
        <v>3.15</v>
      </c>
      <c r="E239" s="21">
        <f>IF(D239="","",SUM(BASE_CALCULO!$B$3*$B$2/$B$3*D239))</f>
        <v>2.5941176470588232</v>
      </c>
    </row>
    <row r="240" spans="1:5" ht="15" x14ac:dyDescent="0.25">
      <c r="A240" s="20"/>
      <c r="B240" s="20"/>
      <c r="C240" s="34" t="s">
        <v>46</v>
      </c>
      <c r="D240" s="24">
        <v>6.55</v>
      </c>
      <c r="E240" s="21">
        <f>IF(D240="","",SUM(BASE_CALCULO!$B$3*$B$2/$B$3*D240))</f>
        <v>5.394117647058823</v>
      </c>
    </row>
    <row r="241" spans="1:5" ht="15" x14ac:dyDescent="0.25">
      <c r="A241" s="20"/>
      <c r="B241" s="20"/>
      <c r="C241" s="28" t="s">
        <v>46</v>
      </c>
      <c r="D241" s="20">
        <v>3.15</v>
      </c>
      <c r="E241" s="21">
        <f>IF(D241="","",SUM(BASE_CALCULO!$B$3*$B$2/$B$3*D241))</f>
        <v>2.5941176470588232</v>
      </c>
    </row>
    <row r="242" spans="1:5" ht="15" x14ac:dyDescent="0.25">
      <c r="A242" s="20"/>
      <c r="B242" s="20"/>
      <c r="C242" s="34" t="s">
        <v>47</v>
      </c>
      <c r="D242" s="24">
        <v>7.25</v>
      </c>
      <c r="E242" s="21">
        <f>IF(D242="","",SUM(BASE_CALCULO!$B$3*$B$2/$B$3*D242))</f>
        <v>5.9705882352941178</v>
      </c>
    </row>
    <row r="243" spans="1:5" ht="15" x14ac:dyDescent="0.25">
      <c r="A243" s="20"/>
      <c r="B243" s="20"/>
      <c r="C243" s="28" t="s">
        <v>47</v>
      </c>
      <c r="D243" s="20">
        <v>3.15</v>
      </c>
      <c r="E243" s="21">
        <f>IF(D243="","",SUM(BASE_CALCULO!$B$3*$B$2/$B$3*D243))</f>
        <v>2.5941176470588232</v>
      </c>
    </row>
    <row r="244" spans="1:5" ht="15" x14ac:dyDescent="0.25">
      <c r="A244" s="20"/>
      <c r="B244" s="20"/>
      <c r="C244" s="34" t="s">
        <v>38</v>
      </c>
      <c r="D244" s="24">
        <v>2.8</v>
      </c>
      <c r="E244" s="21">
        <f>IF(D244="","",SUM(BASE_CALCULO!$B$3*$B$2/$B$3*D244))</f>
        <v>2.3058823529411763</v>
      </c>
    </row>
    <row r="245" spans="1:5" ht="15" x14ac:dyDescent="0.25">
      <c r="A245" s="20"/>
      <c r="B245" s="20"/>
      <c r="C245" s="28" t="s">
        <v>38</v>
      </c>
      <c r="D245" s="20">
        <v>2</v>
      </c>
      <c r="E245" s="21">
        <f>IF(D245="","",SUM(BASE_CALCULO!$B$3*$B$2/$B$3*D245))</f>
        <v>1.6470588235294117</v>
      </c>
    </row>
    <row r="246" spans="1:5" ht="15" x14ac:dyDescent="0.25">
      <c r="A246" s="20"/>
      <c r="B246" s="20"/>
      <c r="C246" s="34" t="s">
        <v>48</v>
      </c>
      <c r="D246" s="24">
        <v>7.8</v>
      </c>
      <c r="E246" s="21">
        <f>IF(D246="","",SUM(BASE_CALCULO!$B$3*$B$2/$B$3*D246))</f>
        <v>6.4235294117647053</v>
      </c>
    </row>
    <row r="247" spans="1:5" ht="15" x14ac:dyDescent="0.25">
      <c r="A247" s="20"/>
      <c r="B247" s="20"/>
      <c r="C247" s="28" t="s">
        <v>48</v>
      </c>
      <c r="D247" s="20">
        <v>3.15</v>
      </c>
      <c r="E247" s="21">
        <f>IF(D247="","",SUM(BASE_CALCULO!$B$3*$B$2/$B$3*D247))</f>
        <v>2.5941176470588232</v>
      </c>
    </row>
    <row r="248" spans="1:5" ht="15" x14ac:dyDescent="0.25">
      <c r="A248" s="20"/>
      <c r="B248" s="20"/>
      <c r="C248" s="34" t="s">
        <v>49</v>
      </c>
      <c r="D248" s="20">
        <v>8.5500000000000007</v>
      </c>
      <c r="E248" s="21">
        <f>IF(D248="","",SUM(BASE_CALCULO!$B$3*$B$2/$B$3*D248))</f>
        <v>7.0411764705882351</v>
      </c>
    </row>
    <row r="249" spans="1:5" ht="15" x14ac:dyDescent="0.25">
      <c r="A249" s="20"/>
      <c r="B249" s="20"/>
      <c r="C249" s="28" t="s">
        <v>49</v>
      </c>
      <c r="D249" s="20">
        <v>3.15</v>
      </c>
      <c r="E249" s="21">
        <f>IF(D249="","",SUM(BASE_CALCULO!$B$3*$B$2/$B$3*D249))</f>
        <v>2.5941176470588232</v>
      </c>
    </row>
    <row r="250" spans="1:5" ht="15" x14ac:dyDescent="0.25">
      <c r="A250" s="20"/>
      <c r="B250" s="20"/>
      <c r="C250" s="34" t="s">
        <v>50</v>
      </c>
      <c r="D250" s="20">
        <v>9.25</v>
      </c>
      <c r="E250" s="21">
        <f>IF(D250="","",SUM(BASE_CALCULO!$B$3*$B$2/$B$3*D250))</f>
        <v>7.617647058823529</v>
      </c>
    </row>
    <row r="251" spans="1:5" ht="15" x14ac:dyDescent="0.25">
      <c r="A251" s="20"/>
      <c r="B251" s="20"/>
      <c r="C251" s="28" t="s">
        <v>50</v>
      </c>
      <c r="D251" s="20">
        <v>3.15</v>
      </c>
      <c r="E251" s="21">
        <f>IF(D251="","",SUM(BASE_CALCULO!$B$3*$B$2/$B$3*D251))</f>
        <v>2.5941176470588232</v>
      </c>
    </row>
    <row r="252" spans="1:5" ht="15" x14ac:dyDescent="0.25">
      <c r="A252" s="20"/>
      <c r="B252" s="20"/>
      <c r="C252" s="34" t="s">
        <v>51</v>
      </c>
      <c r="D252" s="20">
        <v>9.9499999999999993</v>
      </c>
      <c r="E252" s="21">
        <f>IF(D252="","",SUM(BASE_CALCULO!$B$3*$B$2/$B$3*D252))</f>
        <v>8.1941176470588228</v>
      </c>
    </row>
    <row r="253" spans="1:5" ht="15" x14ac:dyDescent="0.25">
      <c r="A253" s="20"/>
      <c r="B253" s="20"/>
      <c r="C253" s="28" t="s">
        <v>51</v>
      </c>
      <c r="D253" s="20">
        <v>3.15</v>
      </c>
      <c r="E253" s="21">
        <f>IF(D253="","",SUM(BASE_CALCULO!$B$3*$B$2/$B$3*D253))</f>
        <v>2.5941176470588232</v>
      </c>
    </row>
    <row r="254" spans="1:5" ht="15" x14ac:dyDescent="0.25">
      <c r="A254" s="20"/>
      <c r="B254" s="20"/>
      <c r="C254" s="34" t="s">
        <v>39</v>
      </c>
      <c r="D254" s="24">
        <v>4.0999999999999996</v>
      </c>
      <c r="E254" s="21">
        <f>IF(D254="","",SUM(BASE_CALCULO!$B$3*$B$2/$B$3*D254))</f>
        <v>3.3764705882352937</v>
      </c>
    </row>
    <row r="255" spans="1:5" ht="15" x14ac:dyDescent="0.25">
      <c r="A255" s="20"/>
      <c r="B255" s="20"/>
      <c r="C255" s="28" t="s">
        <v>39</v>
      </c>
      <c r="D255" s="20">
        <v>2</v>
      </c>
      <c r="E255" s="21">
        <f>IF(D255="","",SUM(BASE_CALCULO!$B$3*$B$2/$B$3*D255))</f>
        <v>1.6470588235294117</v>
      </c>
    </row>
    <row r="256" spans="1:5" ht="15" x14ac:dyDescent="0.25">
      <c r="A256" s="20"/>
      <c r="B256" s="20"/>
      <c r="C256" s="34" t="s">
        <v>52</v>
      </c>
      <c r="D256" s="20">
        <v>10.8</v>
      </c>
      <c r="E256" s="21">
        <f>IF(D256="","",SUM(BASE_CALCULO!$B$3*$B$2/$B$3*D256))</f>
        <v>8.8941176470588239</v>
      </c>
    </row>
    <row r="257" spans="1:5" ht="15" x14ac:dyDescent="0.25">
      <c r="A257" s="20"/>
      <c r="B257" s="20"/>
      <c r="C257" s="28" t="s">
        <v>52</v>
      </c>
      <c r="D257" s="20">
        <v>3.15</v>
      </c>
      <c r="E257" s="21">
        <f>IF(D257="","",SUM(BASE_CALCULO!$B$3*$B$2/$B$3*D257))</f>
        <v>2.5941176470588232</v>
      </c>
    </row>
    <row r="258" spans="1:5" ht="15" x14ac:dyDescent="0.25">
      <c r="A258" s="20"/>
      <c r="B258" s="20"/>
      <c r="C258" s="34" t="s">
        <v>53</v>
      </c>
      <c r="D258" s="20">
        <v>11.5</v>
      </c>
      <c r="E258" s="21">
        <f>IF(D258="","",SUM(BASE_CALCULO!$B$3*$B$2/$B$3*D258))</f>
        <v>9.4705882352941178</v>
      </c>
    </row>
    <row r="259" spans="1:5" ht="15" x14ac:dyDescent="0.25">
      <c r="A259" s="20"/>
      <c r="B259" s="20"/>
      <c r="C259" s="28" t="s">
        <v>53</v>
      </c>
      <c r="D259" s="20">
        <v>3.15</v>
      </c>
      <c r="E259" s="21">
        <f>IF(D259="","",SUM(BASE_CALCULO!$B$3*$B$2/$B$3*D259))</f>
        <v>2.5941176470588232</v>
      </c>
    </row>
    <row r="260" spans="1:5" ht="15" x14ac:dyDescent="0.25">
      <c r="A260" s="20"/>
      <c r="B260" s="20"/>
      <c r="C260" s="34" t="s">
        <v>54</v>
      </c>
      <c r="D260" s="20">
        <v>12.2</v>
      </c>
      <c r="E260" s="21">
        <f>IF(D260="","",SUM(BASE_CALCULO!$B$3*$B$2/$B$3*D260))</f>
        <v>10.04705882352941</v>
      </c>
    </row>
    <row r="261" spans="1:5" ht="15" x14ac:dyDescent="0.25">
      <c r="A261" s="20"/>
      <c r="B261" s="20"/>
      <c r="C261" s="28" t="s">
        <v>54</v>
      </c>
      <c r="D261" s="20">
        <v>3.15</v>
      </c>
      <c r="E261" s="21">
        <f>IF(D261="","",SUM(BASE_CALCULO!$B$3*$B$2/$B$3*D261))</f>
        <v>2.5941176470588232</v>
      </c>
    </row>
    <row r="262" spans="1:5" ht="15" x14ac:dyDescent="0.25">
      <c r="A262" s="20"/>
      <c r="B262" s="20"/>
      <c r="C262" s="34" t="s">
        <v>55</v>
      </c>
      <c r="D262" s="20">
        <v>12.9</v>
      </c>
      <c r="E262" s="21">
        <f>IF(D262="","",SUM(BASE_CALCULO!$B$3*$B$2/$B$3*D262))</f>
        <v>10.623529411764705</v>
      </c>
    </row>
    <row r="263" spans="1:5" ht="15" x14ac:dyDescent="0.25">
      <c r="A263" s="20"/>
      <c r="B263" s="20"/>
      <c r="C263" s="28" t="s">
        <v>55</v>
      </c>
      <c r="D263" s="20">
        <v>3.15</v>
      </c>
      <c r="E263" s="21">
        <f>IF(D263="","",SUM(BASE_CALCULO!$B$3*$B$2/$B$3*D263))</f>
        <v>2.5941176470588232</v>
      </c>
    </row>
    <row r="264" spans="1:5" ht="15" x14ac:dyDescent="0.25">
      <c r="A264" s="20"/>
      <c r="B264" s="20"/>
      <c r="C264" s="34" t="s">
        <v>56</v>
      </c>
      <c r="D264" s="20">
        <v>13.6</v>
      </c>
      <c r="E264" s="21">
        <f>IF(D264="","",SUM(BASE_CALCULO!$B$3*$B$2/$B$3*D264))</f>
        <v>11.2</v>
      </c>
    </row>
    <row r="265" spans="1:5" ht="15" x14ac:dyDescent="0.25">
      <c r="A265" s="20"/>
      <c r="B265" s="20"/>
      <c r="C265" s="28" t="s">
        <v>56</v>
      </c>
      <c r="D265" s="20">
        <v>3.15</v>
      </c>
      <c r="E265" s="21">
        <f>IF(D265="","",SUM(BASE_CALCULO!$B$3*$B$2/$B$3*D265))</f>
        <v>2.5941176470588232</v>
      </c>
    </row>
    <row r="266" spans="1:5" ht="15" x14ac:dyDescent="0.25">
      <c r="A266" s="20"/>
      <c r="B266" s="20"/>
      <c r="C266" s="34" t="s">
        <v>57</v>
      </c>
      <c r="D266" s="20">
        <v>14.3</v>
      </c>
      <c r="E266" s="21">
        <f>IF(D266="","",SUM(BASE_CALCULO!$B$3*$B$2/$B$3*D266))</f>
        <v>11.776470588235295</v>
      </c>
    </row>
    <row r="267" spans="1:5" ht="15" x14ac:dyDescent="0.25">
      <c r="A267" s="20"/>
      <c r="B267" s="20"/>
      <c r="C267" s="28" t="s">
        <v>57</v>
      </c>
      <c r="D267" s="20">
        <v>3.15</v>
      </c>
      <c r="E267" s="21">
        <f>IF(D267="","",SUM(BASE_CALCULO!$B$3*$B$2/$B$3*D267))</f>
        <v>2.5941176470588232</v>
      </c>
    </row>
    <row r="268" spans="1:5" ht="15" x14ac:dyDescent="0.25">
      <c r="A268" s="20"/>
      <c r="B268" s="20"/>
      <c r="C268" s="34" t="s">
        <v>59</v>
      </c>
      <c r="D268" s="24">
        <v>2.73</v>
      </c>
      <c r="E268" s="21">
        <f>IF(D268="","",SUM(BASE_CALCULO!$B$3*$B$2/$B$3*D268))</f>
        <v>2.2482352941176469</v>
      </c>
    </row>
    <row r="269" spans="1:5" ht="15" x14ac:dyDescent="0.25">
      <c r="A269" s="20"/>
      <c r="B269" s="20"/>
      <c r="C269" s="28" t="s">
        <v>59</v>
      </c>
      <c r="D269" s="31">
        <v>2.73</v>
      </c>
      <c r="E269" s="21">
        <f>IF(D269="","",SUM(BASE_CALCULO!$B$3*$B$2/$B$3*D269))</f>
        <v>2.2482352941176469</v>
      </c>
    </row>
    <row r="270" spans="1:5" ht="15" x14ac:dyDescent="0.25">
      <c r="A270" s="20"/>
      <c r="B270" s="20"/>
      <c r="C270" s="34" t="s">
        <v>77</v>
      </c>
      <c r="D270" s="20">
        <v>14.95</v>
      </c>
      <c r="E270" s="21">
        <f>IF(D270="","",SUM(BASE_CALCULO!$B$3*$B$2/$B$3*D270))</f>
        <v>12.311764705882352</v>
      </c>
    </row>
    <row r="271" spans="1:5" ht="15" x14ac:dyDescent="0.25">
      <c r="A271" s="20"/>
      <c r="B271" s="20"/>
      <c r="C271" s="28" t="s">
        <v>77</v>
      </c>
      <c r="D271" s="20">
        <v>14.95</v>
      </c>
      <c r="E271" s="21">
        <f>IF(D271="","",SUM(BASE_CALCULO!$B$3*$B$2/$B$3*D271))</f>
        <v>12.311764705882352</v>
      </c>
    </row>
    <row r="272" spans="1:5" ht="15" x14ac:dyDescent="0.25">
      <c r="A272" s="20"/>
      <c r="B272" s="20"/>
      <c r="C272" s="34" t="s">
        <v>60</v>
      </c>
      <c r="D272" s="24">
        <v>3.73</v>
      </c>
      <c r="E272" s="21">
        <f>IF(D272="","",SUM(BASE_CALCULO!$B$3*$B$2/$B$3*D272))</f>
        <v>3.071764705882353</v>
      </c>
    </row>
    <row r="273" spans="1:5" ht="15" x14ac:dyDescent="0.25">
      <c r="A273" s="20"/>
      <c r="B273" s="20"/>
      <c r="C273" s="34" t="s">
        <v>60</v>
      </c>
      <c r="D273" s="24">
        <v>2.95</v>
      </c>
      <c r="E273" s="21">
        <f>IF(D273="","",SUM(BASE_CALCULO!$B$3*$B$2/$B$3*D273))</f>
        <v>2.4294117647058826</v>
      </c>
    </row>
    <row r="274" spans="1:5" ht="15" x14ac:dyDescent="0.25">
      <c r="A274" s="20"/>
      <c r="B274" s="20"/>
      <c r="C274" s="28" t="s">
        <v>60</v>
      </c>
      <c r="D274" s="20">
        <v>3.73</v>
      </c>
      <c r="E274" s="21">
        <f>IF(D274="","",SUM(BASE_CALCULO!$B$3*$B$2/$B$3*D274))</f>
        <v>3.071764705882353</v>
      </c>
    </row>
    <row r="275" spans="1:5" ht="15" x14ac:dyDescent="0.25">
      <c r="A275" s="20"/>
      <c r="B275" s="20"/>
      <c r="C275" s="28" t="s">
        <v>60</v>
      </c>
      <c r="D275" s="20">
        <v>2.95</v>
      </c>
      <c r="E275" s="21">
        <f>IF(D275="","",SUM(BASE_CALCULO!$B$3*$B$2/$B$3*D275))</f>
        <v>2.4294117647058826</v>
      </c>
    </row>
    <row r="276" spans="1:5" ht="15" x14ac:dyDescent="0.25">
      <c r="A276" s="20"/>
      <c r="B276" s="20"/>
      <c r="C276" s="34" t="s">
        <v>61</v>
      </c>
      <c r="D276" s="24">
        <v>4.7300000000000004</v>
      </c>
      <c r="E276" s="21">
        <f>IF(D276="","",SUM(BASE_CALCULO!$B$3*$B$2/$B$3*D276))</f>
        <v>3.895294117647059</v>
      </c>
    </row>
    <row r="277" spans="1:5" ht="15" x14ac:dyDescent="0.25">
      <c r="A277" s="20"/>
      <c r="B277" s="20"/>
      <c r="C277" s="34" t="s">
        <v>61</v>
      </c>
      <c r="D277" s="24">
        <v>3.65</v>
      </c>
      <c r="E277" s="21">
        <f>IF(D277="","",SUM(BASE_CALCULO!$B$3*$B$2/$B$3*D277))</f>
        <v>3.0058823529411764</v>
      </c>
    </row>
    <row r="278" spans="1:5" ht="15" x14ac:dyDescent="0.25">
      <c r="A278" s="20"/>
      <c r="B278" s="20"/>
      <c r="C278" s="28" t="s">
        <v>61</v>
      </c>
      <c r="D278" s="20">
        <v>4.7300000000000004</v>
      </c>
      <c r="E278" s="21">
        <f>IF(D278="","",SUM(BASE_CALCULO!$B$3*$B$2/$B$3*D278))</f>
        <v>3.895294117647059</v>
      </c>
    </row>
    <row r="279" spans="1:5" ht="15" x14ac:dyDescent="0.25">
      <c r="A279" s="20"/>
      <c r="B279" s="20"/>
      <c r="C279" s="28" t="s">
        <v>61</v>
      </c>
      <c r="D279" s="20">
        <v>3.65</v>
      </c>
      <c r="E279" s="21">
        <f>IF(D279="","",SUM(BASE_CALCULO!$B$3*$B$2/$B$3*D279))</f>
        <v>3.0058823529411764</v>
      </c>
    </row>
    <row r="280" spans="1:5" ht="15" x14ac:dyDescent="0.25">
      <c r="A280" s="20"/>
      <c r="B280" s="20"/>
      <c r="C280" s="34" t="s">
        <v>62</v>
      </c>
      <c r="D280" s="24">
        <v>5.73</v>
      </c>
      <c r="E280" s="21">
        <f>IF(D280="","",SUM(BASE_CALCULO!$B$3*$B$2/$B$3*D280))</f>
        <v>4.7188235294117646</v>
      </c>
    </row>
    <row r="281" spans="1:5" ht="15" x14ac:dyDescent="0.25">
      <c r="A281" s="20"/>
      <c r="B281" s="20"/>
      <c r="C281" s="34" t="s">
        <v>62</v>
      </c>
      <c r="D281" s="24">
        <v>4.3499999999999996</v>
      </c>
      <c r="E281" s="21">
        <f>IF(D281="","",SUM(BASE_CALCULO!$B$3*$B$2/$B$3*D281))</f>
        <v>3.5823529411764703</v>
      </c>
    </row>
    <row r="282" spans="1:5" ht="15" x14ac:dyDescent="0.25">
      <c r="A282" s="20"/>
      <c r="B282" s="20"/>
      <c r="C282" s="28" t="s">
        <v>62</v>
      </c>
      <c r="D282" s="20">
        <v>5.73</v>
      </c>
      <c r="E282" s="21">
        <f>IF(D282="","",SUM(BASE_CALCULO!$B$3*$B$2/$B$3*D282))</f>
        <v>4.7188235294117646</v>
      </c>
    </row>
    <row r="283" spans="1:5" ht="15" x14ac:dyDescent="0.25">
      <c r="A283" s="20"/>
      <c r="B283" s="20"/>
      <c r="C283" s="28" t="s">
        <v>62</v>
      </c>
      <c r="D283" s="20">
        <v>4.3499999999999996</v>
      </c>
      <c r="E283" s="21">
        <f>IF(D283="","",SUM(BASE_CALCULO!$B$3*$B$2/$B$3*D283))</f>
        <v>3.5823529411764703</v>
      </c>
    </row>
    <row r="284" spans="1:5" ht="15" x14ac:dyDescent="0.25">
      <c r="A284" s="20"/>
      <c r="B284" s="20"/>
      <c r="C284" s="34" t="s">
        <v>63</v>
      </c>
      <c r="D284" s="24">
        <v>5.05</v>
      </c>
      <c r="E284" s="21">
        <f>IF(D284="","",SUM(BASE_CALCULO!$B$3*$B$2/$B$3*D284))</f>
        <v>4.1588235294117641</v>
      </c>
    </row>
    <row r="285" spans="1:5" ht="15" x14ac:dyDescent="0.25">
      <c r="A285" s="20"/>
      <c r="B285" s="20"/>
      <c r="C285" s="28" t="s">
        <v>63</v>
      </c>
      <c r="D285" s="20">
        <v>5.05</v>
      </c>
      <c r="E285" s="21">
        <f>IF(D285="","",SUM(BASE_CALCULO!$B$3*$B$2/$B$3*D285))</f>
        <v>4.1588235294117641</v>
      </c>
    </row>
    <row r="286" spans="1:5" ht="15" x14ac:dyDescent="0.25">
      <c r="A286" s="20"/>
      <c r="B286" s="20"/>
      <c r="C286" s="34" t="s">
        <v>64</v>
      </c>
      <c r="D286" s="24">
        <v>5.75</v>
      </c>
      <c r="E286" s="21">
        <f>IF(D286="","",SUM(BASE_CALCULO!$B$3*$B$2/$B$3*D286))</f>
        <v>4.7352941176470589</v>
      </c>
    </row>
    <row r="287" spans="1:5" ht="15" x14ac:dyDescent="0.25">
      <c r="A287" s="20"/>
      <c r="B287" s="20"/>
      <c r="C287" s="28" t="s">
        <v>64</v>
      </c>
      <c r="D287" s="20">
        <v>5.75</v>
      </c>
      <c r="E287" s="21">
        <f>IF(D287="","",SUM(BASE_CALCULO!$B$3*$B$2/$B$3*D287))</f>
        <v>4.7352941176470589</v>
      </c>
    </row>
    <row r="288" spans="1:5" ht="15" x14ac:dyDescent="0.25">
      <c r="A288" s="20"/>
      <c r="B288" s="20"/>
      <c r="C288" s="34" t="s">
        <v>65</v>
      </c>
      <c r="D288" s="20">
        <v>6.45</v>
      </c>
      <c r="E288" s="21">
        <f>IF(D288="","",SUM(BASE_CALCULO!$B$3*$B$2/$B$3*D288))</f>
        <v>5.3117647058823527</v>
      </c>
    </row>
    <row r="289" spans="1:5" ht="15" x14ac:dyDescent="0.25">
      <c r="A289" s="20"/>
      <c r="B289" s="20"/>
      <c r="C289" s="28" t="s">
        <v>65</v>
      </c>
      <c r="D289" s="20">
        <v>6.45</v>
      </c>
      <c r="E289" s="21">
        <f>IF(D289="","",SUM(BASE_CALCULO!$B$3*$B$2/$B$3*D289))</f>
        <v>5.3117647058823527</v>
      </c>
    </row>
    <row r="290" spans="1:5" ht="15" x14ac:dyDescent="0.25">
      <c r="A290" s="20"/>
      <c r="B290" s="20"/>
      <c r="C290" s="34" t="s">
        <v>66</v>
      </c>
      <c r="D290" s="20">
        <v>7.15</v>
      </c>
      <c r="E290" s="21">
        <f>IF(D290="","",SUM(BASE_CALCULO!$B$3*$B$2/$B$3*D290))</f>
        <v>5.8882352941176475</v>
      </c>
    </row>
    <row r="291" spans="1:5" ht="15" x14ac:dyDescent="0.25">
      <c r="A291" s="20"/>
      <c r="B291" s="20"/>
      <c r="C291" s="28" t="s">
        <v>66</v>
      </c>
      <c r="D291" s="20">
        <v>7.15</v>
      </c>
      <c r="E291" s="21">
        <f>IF(D291="","",SUM(BASE_CALCULO!$B$3*$B$2/$B$3*D291))</f>
        <v>5.8882352941176475</v>
      </c>
    </row>
    <row r="292" spans="1:5" ht="15" x14ac:dyDescent="0.25">
      <c r="A292" s="20"/>
      <c r="B292" s="20"/>
      <c r="C292" s="34" t="s">
        <v>67</v>
      </c>
      <c r="D292" s="20">
        <v>7.85</v>
      </c>
      <c r="E292" s="21">
        <f>IF(D292="","",SUM(BASE_CALCULO!$B$3*$B$2/$B$3*D292))</f>
        <v>6.4647058823529404</v>
      </c>
    </row>
    <row r="293" spans="1:5" ht="15" x14ac:dyDescent="0.25">
      <c r="A293" s="20"/>
      <c r="B293" s="20"/>
      <c r="C293" s="28" t="s">
        <v>67</v>
      </c>
      <c r="D293" s="20">
        <v>7.85</v>
      </c>
      <c r="E293" s="21">
        <f>IF(D293="","",SUM(BASE_CALCULO!$B$3*$B$2/$B$3*D293))</f>
        <v>6.4647058823529404</v>
      </c>
    </row>
    <row r="294" spans="1:5" ht="15" x14ac:dyDescent="0.25">
      <c r="A294" s="20"/>
      <c r="B294" s="20"/>
      <c r="C294" s="34" t="s">
        <v>68</v>
      </c>
      <c r="D294" s="20">
        <v>8.5500000000000007</v>
      </c>
      <c r="E294" s="21">
        <f>IF(D294="","",SUM(BASE_CALCULO!$B$3*$B$2/$B$3*D294))</f>
        <v>7.0411764705882351</v>
      </c>
    </row>
    <row r="295" spans="1:5" ht="15" x14ac:dyDescent="0.25">
      <c r="A295" s="20"/>
      <c r="B295" s="20"/>
      <c r="C295" s="28" t="s">
        <v>68</v>
      </c>
      <c r="D295" s="20">
        <v>8.85</v>
      </c>
      <c r="E295" s="21">
        <f>IF(D295="","",SUM(BASE_CALCULO!$B$3*$B$2/$B$3*D295))</f>
        <v>7.288235294117646</v>
      </c>
    </row>
    <row r="296" spans="1:5" ht="15" x14ac:dyDescent="0.25">
      <c r="A296" s="20"/>
      <c r="B296" s="20"/>
      <c r="C296" s="34" t="s">
        <v>69</v>
      </c>
      <c r="D296" s="20">
        <v>9.25</v>
      </c>
      <c r="E296" s="21">
        <f>IF(D296="","",SUM(BASE_CALCULO!$B$3*$B$2/$B$3*D296))</f>
        <v>7.617647058823529</v>
      </c>
    </row>
    <row r="297" spans="1:5" ht="15" x14ac:dyDescent="0.25">
      <c r="A297" s="20"/>
      <c r="B297" s="20"/>
      <c r="C297" s="28" t="s">
        <v>69</v>
      </c>
      <c r="D297" s="20">
        <v>9.25</v>
      </c>
      <c r="E297" s="21">
        <f>IF(D297="","",SUM(BASE_CALCULO!$B$3*$B$2/$B$3*D297))</f>
        <v>7.617647058823529</v>
      </c>
    </row>
    <row r="298" spans="1:5" ht="15" x14ac:dyDescent="0.25">
      <c r="A298" s="20"/>
      <c r="B298" s="20"/>
      <c r="C298" s="34" t="s">
        <v>70</v>
      </c>
      <c r="D298" s="20">
        <v>9.9499999999999993</v>
      </c>
      <c r="E298" s="21">
        <f>IF(D298="","",SUM(BASE_CALCULO!$B$3*$B$2/$B$3*D298))</f>
        <v>8.1941176470588228</v>
      </c>
    </row>
    <row r="299" spans="1:5" ht="15" x14ac:dyDescent="0.25">
      <c r="A299" s="20"/>
      <c r="B299" s="20"/>
      <c r="C299" s="28" t="s">
        <v>70</v>
      </c>
      <c r="D299" s="20">
        <v>9.9499999999999993</v>
      </c>
      <c r="E299" s="21">
        <f>IF(D299="","",SUM(BASE_CALCULO!$B$3*$B$2/$B$3*D299))</f>
        <v>8.1941176470588228</v>
      </c>
    </row>
    <row r="300" spans="1:5" ht="15" x14ac:dyDescent="0.25">
      <c r="A300" s="20"/>
      <c r="B300" s="20"/>
      <c r="C300" s="34" t="s">
        <v>71</v>
      </c>
      <c r="D300" s="20">
        <v>10.7</v>
      </c>
      <c r="E300" s="21">
        <f>IF(D300="","",SUM(BASE_CALCULO!$B$3*$B$2/$B$3*D300))</f>
        <v>8.8117647058823518</v>
      </c>
    </row>
    <row r="301" spans="1:5" ht="15" x14ac:dyDescent="0.25">
      <c r="A301" s="20"/>
      <c r="B301" s="20"/>
      <c r="C301" s="28" t="s">
        <v>71</v>
      </c>
      <c r="D301" s="20">
        <v>10.7</v>
      </c>
      <c r="E301" s="21">
        <f>IF(D301="","",SUM(BASE_CALCULO!$B$3*$B$2/$B$3*D301))</f>
        <v>8.8117647058823518</v>
      </c>
    </row>
    <row r="302" spans="1:5" ht="15" x14ac:dyDescent="0.25">
      <c r="A302" s="20"/>
      <c r="B302" s="20"/>
      <c r="C302" s="34" t="s">
        <v>72</v>
      </c>
      <c r="D302" s="20">
        <v>11.45</v>
      </c>
      <c r="E302" s="21">
        <f>IF(D302="","",SUM(BASE_CALCULO!$B$3*$B$2/$B$3*D302))</f>
        <v>9.4294117647058808</v>
      </c>
    </row>
    <row r="303" spans="1:5" ht="15" x14ac:dyDescent="0.25">
      <c r="A303" s="20"/>
      <c r="B303" s="20"/>
      <c r="C303" s="28" t="s">
        <v>72</v>
      </c>
      <c r="D303" s="20">
        <v>11.45</v>
      </c>
      <c r="E303" s="21">
        <f>IF(D303="","",SUM(BASE_CALCULO!$B$3*$B$2/$B$3*D303))</f>
        <v>9.4294117647058808</v>
      </c>
    </row>
    <row r="304" spans="1:5" ht="15" x14ac:dyDescent="0.25">
      <c r="A304" s="20"/>
      <c r="B304" s="20"/>
      <c r="C304" s="34" t="s">
        <v>73</v>
      </c>
      <c r="D304" s="20">
        <v>11.9</v>
      </c>
      <c r="E304" s="21">
        <f>IF(D304="","",SUM(BASE_CALCULO!$B$3*$B$2/$B$3*D304))</f>
        <v>9.8000000000000007</v>
      </c>
    </row>
    <row r="305" spans="1:5" ht="15" x14ac:dyDescent="0.25">
      <c r="A305" s="20"/>
      <c r="B305" s="20"/>
      <c r="C305" s="28" t="s">
        <v>73</v>
      </c>
      <c r="D305" s="20">
        <v>11.9</v>
      </c>
      <c r="E305" s="21">
        <f>IF(D305="","",SUM(BASE_CALCULO!$B$3*$B$2/$B$3*D305))</f>
        <v>9.8000000000000007</v>
      </c>
    </row>
    <row r="306" spans="1:5" ht="15" x14ac:dyDescent="0.25">
      <c r="A306" s="20"/>
      <c r="B306" s="20"/>
      <c r="C306" s="34" t="s">
        <v>74</v>
      </c>
      <c r="D306" s="20">
        <v>12.85</v>
      </c>
      <c r="E306" s="21">
        <f>IF(D306="","",SUM(BASE_CALCULO!$B$3*$B$2/$B$3*D306))</f>
        <v>10.58235294117647</v>
      </c>
    </row>
    <row r="307" spans="1:5" ht="15" x14ac:dyDescent="0.25">
      <c r="A307" s="20"/>
      <c r="B307" s="20"/>
      <c r="C307" s="28" t="s">
        <v>74</v>
      </c>
      <c r="D307" s="20">
        <v>12.85</v>
      </c>
      <c r="E307" s="21">
        <f>IF(D307="","",SUM(BASE_CALCULO!$B$3*$B$2/$B$3*D307))</f>
        <v>10.58235294117647</v>
      </c>
    </row>
    <row r="308" spans="1:5" ht="15" x14ac:dyDescent="0.25">
      <c r="A308" s="20"/>
      <c r="B308" s="20"/>
      <c r="C308" s="34" t="s">
        <v>75</v>
      </c>
      <c r="D308" s="20">
        <v>13.55</v>
      </c>
      <c r="E308" s="21">
        <f>IF(D308="","",SUM(BASE_CALCULO!$B$3*$B$2/$B$3*D308))</f>
        <v>11.158823529411764</v>
      </c>
    </row>
    <row r="309" spans="1:5" ht="15" x14ac:dyDescent="0.25">
      <c r="A309" s="20"/>
      <c r="B309" s="20"/>
      <c r="C309" s="28" t="s">
        <v>75</v>
      </c>
      <c r="D309" s="20">
        <v>13.55</v>
      </c>
      <c r="E309" s="21">
        <f>IF(D309="","",SUM(BASE_CALCULO!$B$3*$B$2/$B$3*D309))</f>
        <v>11.158823529411764</v>
      </c>
    </row>
    <row r="310" spans="1:5" ht="15" x14ac:dyDescent="0.25">
      <c r="A310" s="20"/>
      <c r="B310" s="20"/>
      <c r="C310" s="34" t="s">
        <v>76</v>
      </c>
      <c r="D310" s="20">
        <v>14.15</v>
      </c>
      <c r="E310" s="21">
        <f>IF(D310="","",SUM(BASE_CALCULO!$B$3*$B$2/$B$3*D310))</f>
        <v>11.652941176470588</v>
      </c>
    </row>
    <row r="311" spans="1:5" ht="15" x14ac:dyDescent="0.25">
      <c r="A311" s="20"/>
      <c r="B311" s="20"/>
      <c r="C311" s="28" t="s">
        <v>76</v>
      </c>
      <c r="D311" s="20">
        <v>14.15</v>
      </c>
      <c r="E311" s="21">
        <f>IF(D311="","",SUM(BASE_CALCULO!$B$3*$B$2/$B$3*D311))</f>
        <v>11.652941176470588</v>
      </c>
    </row>
    <row r="312" spans="1:5" ht="15" x14ac:dyDescent="0.25">
      <c r="A312" s="20"/>
      <c r="B312" s="20"/>
      <c r="C312" s="28" t="s">
        <v>170</v>
      </c>
      <c r="D312" s="20">
        <v>2.4500000000000002</v>
      </c>
      <c r="E312" s="21">
        <f>IF(D312="","",SUM(BASE_CALCULO!$B$3*$B$2/$B$3*D312))</f>
        <v>2.0176470588235293</v>
      </c>
    </row>
    <row r="313" spans="1:5" ht="15" x14ac:dyDescent="0.25">
      <c r="A313" s="20"/>
      <c r="B313" s="20"/>
      <c r="C313" s="28" t="s">
        <v>171</v>
      </c>
      <c r="D313" s="20">
        <v>2.1800000000000002</v>
      </c>
      <c r="E313" s="21">
        <f>IF(D313="","",SUM(BASE_CALCULO!$B$3*$B$2/$B$3*D313))</f>
        <v>1.7952941176470589</v>
      </c>
    </row>
    <row r="314" spans="1:5" ht="15" x14ac:dyDescent="0.25">
      <c r="A314" s="20"/>
      <c r="B314" s="20"/>
      <c r="C314" s="36" t="s">
        <v>172</v>
      </c>
      <c r="D314" s="20">
        <v>2.3199999999999998</v>
      </c>
      <c r="E314" s="21">
        <f>IF(D314="","",SUM(BASE_CALCULO!$B$3*$B$2/$B$3*D314))</f>
        <v>1.9105882352941175</v>
      </c>
    </row>
    <row r="315" spans="1:5" ht="15" x14ac:dyDescent="0.25">
      <c r="A315" s="20"/>
      <c r="B315" s="20"/>
      <c r="C315" s="36" t="s">
        <v>173</v>
      </c>
      <c r="D315" s="20">
        <v>2.8</v>
      </c>
      <c r="E315" s="21">
        <f>IF(D315="","",SUM(BASE_CALCULO!$B$3*$B$2/$B$3*D315))</f>
        <v>2.3058823529411763</v>
      </c>
    </row>
    <row r="316" spans="1:5" ht="15" x14ac:dyDescent="0.25">
      <c r="A316" s="20"/>
      <c r="B316" s="20"/>
      <c r="C316" s="28" t="s">
        <v>174</v>
      </c>
      <c r="D316" s="20">
        <v>4.22</v>
      </c>
      <c r="E316" s="21">
        <f>IF(D316="","",SUM(BASE_CALCULO!$B$3*$B$2/$B$3*D316))</f>
        <v>3.4752941176470586</v>
      </c>
    </row>
    <row r="317" spans="1:5" ht="30" x14ac:dyDescent="0.25">
      <c r="A317" s="20"/>
      <c r="B317" s="20"/>
      <c r="C317" s="34" t="s">
        <v>79</v>
      </c>
      <c r="D317" s="24">
        <v>2.4500000000000002</v>
      </c>
      <c r="E317" s="21">
        <f>IF(D317="","",SUM(BASE_CALCULO!$B$3*$B$2/$B$3*D317))</f>
        <v>2.0176470588235293</v>
      </c>
    </row>
    <row r="318" spans="1:5" ht="30" x14ac:dyDescent="0.25">
      <c r="A318" s="20"/>
      <c r="B318" s="20"/>
      <c r="C318" s="34" t="s">
        <v>80</v>
      </c>
      <c r="D318" s="24">
        <v>2.1800000000000002</v>
      </c>
      <c r="E318" s="21">
        <f>IF(D318="","",SUM(BASE_CALCULO!$B$3*$B$2/$B$3*D318))</f>
        <v>1.7952941176470589</v>
      </c>
    </row>
    <row r="319" spans="1:5" ht="30" x14ac:dyDescent="0.25">
      <c r="A319" s="20"/>
      <c r="B319" s="20"/>
      <c r="C319" s="34" t="s">
        <v>81</v>
      </c>
      <c r="D319" s="24">
        <v>2.3199999999999998</v>
      </c>
      <c r="E319" s="21">
        <f>IF(D319="","",SUM(BASE_CALCULO!$B$3*$B$2/$B$3*D319))</f>
        <v>1.9105882352941175</v>
      </c>
    </row>
    <row r="320" spans="1:5" ht="30" x14ac:dyDescent="0.25">
      <c r="A320" s="20"/>
      <c r="B320" s="20"/>
      <c r="C320" s="34" t="s">
        <v>82</v>
      </c>
      <c r="D320" s="24">
        <v>2.8</v>
      </c>
      <c r="E320" s="21">
        <f>IF(D320="","",SUM(BASE_CALCULO!$B$3*$B$2/$B$3*D320))</f>
        <v>2.3058823529411763</v>
      </c>
    </row>
    <row r="321" spans="1:6" ht="30" x14ac:dyDescent="0.25">
      <c r="A321" s="20"/>
      <c r="B321" s="20"/>
      <c r="C321" s="34" t="s">
        <v>78</v>
      </c>
      <c r="D321" s="20">
        <v>2.6</v>
      </c>
      <c r="E321" s="21">
        <f>IF(D321="","",SUM(BASE_CALCULO!$B$3*$B$2/$B$3*D321))</f>
        <v>2.1411764705882352</v>
      </c>
    </row>
    <row r="322" spans="1:6" ht="15" x14ac:dyDescent="0.25">
      <c r="A322" s="20"/>
      <c r="B322" s="20"/>
      <c r="C322" s="35" t="s">
        <v>134</v>
      </c>
      <c r="D322" s="20">
        <v>1.4</v>
      </c>
      <c r="E322" s="21">
        <f>IF(D322="","",SUM(BASE_CALCULO!$B$3*$B$2/$B$3*D322))</f>
        <v>1.1529411764705881</v>
      </c>
    </row>
    <row r="323" spans="1:6" ht="15" x14ac:dyDescent="0.25">
      <c r="A323" s="20"/>
      <c r="B323" s="20"/>
      <c r="C323" s="28" t="s">
        <v>134</v>
      </c>
      <c r="D323" s="20">
        <v>1.1000000000000001</v>
      </c>
      <c r="E323" s="21">
        <f>IF(D323="","",SUM(BASE_CALCULO!$B$3*$B$2/$B$3*D323))</f>
        <v>0.90588235294117647</v>
      </c>
      <c r="F323" s="32" t="s">
        <v>222</v>
      </c>
    </row>
    <row r="324" spans="1:6" ht="15" x14ac:dyDescent="0.25">
      <c r="A324" s="20"/>
      <c r="B324" s="20"/>
      <c r="C324" s="35" t="s">
        <v>135</v>
      </c>
      <c r="D324" s="20">
        <v>1.6</v>
      </c>
      <c r="E324" s="21">
        <f>IF(D324="","",SUM(BASE_CALCULO!$B$3*$B$2/$B$3*D324))</f>
        <v>1.3176470588235294</v>
      </c>
      <c r="F324" s="32" t="s">
        <v>222</v>
      </c>
    </row>
    <row r="325" spans="1:6" ht="15" x14ac:dyDescent="0.25">
      <c r="A325" s="20"/>
      <c r="B325" s="20"/>
      <c r="C325" s="28" t="s">
        <v>135</v>
      </c>
      <c r="D325" s="20">
        <v>1.1000000000000001</v>
      </c>
      <c r="E325" s="21">
        <f>IF(D325="","",SUM(BASE_CALCULO!$B$3*$B$2/$B$3*D325))</f>
        <v>0.90588235294117647</v>
      </c>
      <c r="F325" s="32" t="s">
        <v>222</v>
      </c>
    </row>
    <row r="326" spans="1:6" ht="15" x14ac:dyDescent="0.25">
      <c r="A326" s="20"/>
      <c r="B326" s="20"/>
      <c r="C326" s="35" t="s">
        <v>136</v>
      </c>
      <c r="D326" s="20">
        <v>1.9</v>
      </c>
      <c r="E326" s="21">
        <f>IF(D326="","",SUM(BASE_CALCULO!$B$3*$B$2/$B$3*D326))</f>
        <v>1.5647058823529409</v>
      </c>
      <c r="F326" s="32" t="s">
        <v>222</v>
      </c>
    </row>
    <row r="327" spans="1:6" ht="15" x14ac:dyDescent="0.25">
      <c r="A327" s="20"/>
      <c r="B327" s="20"/>
      <c r="C327" s="28" t="s">
        <v>136</v>
      </c>
      <c r="D327" s="20">
        <v>1.45</v>
      </c>
      <c r="E327" s="21">
        <f>IF(D327="","",SUM(BASE_CALCULO!$B$3*$B$2/$B$3*D327))</f>
        <v>1.1941176470588235</v>
      </c>
      <c r="F327" s="32" t="s">
        <v>222</v>
      </c>
    </row>
    <row r="328" spans="1:6" ht="15" x14ac:dyDescent="0.25">
      <c r="A328" s="20"/>
      <c r="B328" s="20"/>
      <c r="C328" s="34" t="s">
        <v>32</v>
      </c>
      <c r="D328" s="24">
        <v>5.2</v>
      </c>
      <c r="E328" s="21">
        <f>IF(D328="","",SUM(BASE_CALCULO!$B$3*$B$2/$B$3*D328))</f>
        <v>4.2823529411764705</v>
      </c>
      <c r="F328" s="32" t="s">
        <v>222</v>
      </c>
    </row>
    <row r="329" spans="1:6" ht="15" x14ac:dyDescent="0.25">
      <c r="A329" s="20"/>
      <c r="B329" s="20"/>
      <c r="C329" s="34" t="s">
        <v>33</v>
      </c>
      <c r="D329" s="24">
        <v>3.85</v>
      </c>
      <c r="E329" s="21">
        <f>IF(D329="","",SUM(BASE_CALCULO!$B$3*$B$2/$B$3*D329))</f>
        <v>3.1705882352941175</v>
      </c>
    </row>
    <row r="330" spans="1:6" ht="15" x14ac:dyDescent="0.25">
      <c r="A330" s="20"/>
      <c r="B330" s="20"/>
      <c r="C330" s="34" t="s">
        <v>29</v>
      </c>
      <c r="D330" s="24">
        <v>1.7</v>
      </c>
      <c r="E330" s="21">
        <f>IF(D330="","",SUM(BASE_CALCULO!$B$3*$B$2/$B$3*D330))</f>
        <v>1.4</v>
      </c>
    </row>
    <row r="331" spans="1:6" ht="15" x14ac:dyDescent="0.25">
      <c r="A331" s="20"/>
      <c r="B331" s="20"/>
      <c r="C331" s="34" t="s">
        <v>34</v>
      </c>
      <c r="D331" s="24">
        <v>4.8499999999999996</v>
      </c>
      <c r="E331" s="21">
        <f>IF(D331="","",SUM(BASE_CALCULO!$B$3*$B$2/$B$3*D331))</f>
        <v>3.9941176470588231</v>
      </c>
    </row>
    <row r="332" spans="1:6" ht="15" x14ac:dyDescent="0.25">
      <c r="A332" s="20"/>
      <c r="B332" s="20"/>
      <c r="C332" s="34" t="s">
        <v>35</v>
      </c>
      <c r="D332" s="24">
        <v>5.85</v>
      </c>
      <c r="E332" s="21">
        <f>IF(D332="","",SUM(BASE_CALCULO!$B$3*$B$2/$B$3*D332))</f>
        <v>4.8176470588235292</v>
      </c>
    </row>
    <row r="333" spans="1:6" ht="15" x14ac:dyDescent="0.25">
      <c r="A333" s="20"/>
      <c r="B333" s="20"/>
      <c r="C333" s="34" t="s">
        <v>36</v>
      </c>
      <c r="D333" s="24">
        <v>5.15</v>
      </c>
      <c r="E333" s="21">
        <f>IF(D333="","",SUM(BASE_CALCULO!$B$3*$B$2/$B$3*D333))</f>
        <v>4.2411764705882353</v>
      </c>
    </row>
    <row r="334" spans="1:6" ht="15" x14ac:dyDescent="0.25">
      <c r="A334" s="20"/>
      <c r="B334" s="20"/>
      <c r="C334" s="34" t="s">
        <v>30</v>
      </c>
      <c r="D334" s="24">
        <v>2.8</v>
      </c>
      <c r="E334" s="21">
        <f>IF(D334="","",SUM(BASE_CALCULO!$B$3*$B$2/$B$3*D334))</f>
        <v>2.3058823529411763</v>
      </c>
    </row>
    <row r="335" spans="1:6" ht="15" x14ac:dyDescent="0.25">
      <c r="A335" s="20"/>
      <c r="B335" s="20"/>
      <c r="C335" s="34" t="s">
        <v>31</v>
      </c>
      <c r="D335" s="24">
        <v>4.0999999999999996</v>
      </c>
      <c r="E335" s="21">
        <f>IF(D335="","",SUM(BASE_CALCULO!$B$3*$B$2/$B$3*D335))</f>
        <v>3.3764705882352937</v>
      </c>
    </row>
    <row r="336" spans="1:6" ht="15" x14ac:dyDescent="0.25">
      <c r="A336" s="20"/>
      <c r="B336" s="20"/>
      <c r="C336" s="34" t="s">
        <v>28</v>
      </c>
      <c r="D336" s="24">
        <v>5.2</v>
      </c>
      <c r="E336" s="21">
        <f>IF(D336="","",SUM(BASE_CALCULO!$B$3*$B$2/$B$3*D336))</f>
        <v>4.2823529411764705</v>
      </c>
    </row>
    <row r="337" spans="1:5" ht="15" x14ac:dyDescent="0.25">
      <c r="A337" s="20"/>
      <c r="B337" s="20"/>
      <c r="C337" s="34" t="s">
        <v>25</v>
      </c>
      <c r="D337" s="24">
        <v>1.7</v>
      </c>
      <c r="E337" s="21">
        <f>IF(D337="","",SUM(BASE_CALCULO!$B$3*$B$2/$B$3*D337))</f>
        <v>1.4</v>
      </c>
    </row>
    <row r="338" spans="1:5" ht="15" x14ac:dyDescent="0.25">
      <c r="A338" s="20"/>
      <c r="B338" s="20"/>
      <c r="C338" s="34" t="s">
        <v>26</v>
      </c>
      <c r="D338" s="24">
        <v>2.8</v>
      </c>
      <c r="E338" s="21">
        <f>IF(D338="","",SUM(BASE_CALCULO!$B$3*$B$2/$B$3*D338))</f>
        <v>2.3058823529411763</v>
      </c>
    </row>
    <row r="339" spans="1:5" ht="15" x14ac:dyDescent="0.25">
      <c r="A339" s="20"/>
      <c r="B339" s="20"/>
      <c r="C339" s="34" t="s">
        <v>27</v>
      </c>
      <c r="D339" s="24">
        <v>4.0999999999999996</v>
      </c>
      <c r="E339" s="21">
        <f>IF(D339="","",SUM(BASE_CALCULO!$B$3*$B$2/$B$3*D339))</f>
        <v>3.3764705882352937</v>
      </c>
    </row>
    <row r="340" spans="1:5" ht="15.6" x14ac:dyDescent="0.25">
      <c r="A340" s="20"/>
      <c r="B340" s="20"/>
      <c r="C340" s="33"/>
      <c r="D340" s="20"/>
      <c r="E340" s="21"/>
    </row>
    <row r="341" spans="1:5" ht="15" x14ac:dyDescent="0.25">
      <c r="A341" s="20"/>
      <c r="B341" s="20"/>
      <c r="C341" s="35"/>
      <c r="D341" s="20"/>
      <c r="E341" s="21" t="str">
        <f>IF(D341="","",SUM(BASE_CALCULO!$B$3*$B$2/$B$3*D341))</f>
        <v/>
      </c>
    </row>
    <row r="342" spans="1:5" ht="15" x14ac:dyDescent="0.25">
      <c r="A342" s="20"/>
      <c r="B342" s="20"/>
      <c r="C342" s="35"/>
      <c r="D342" s="20"/>
      <c r="E342" s="21" t="str">
        <f>IF(D342="","",SUM(BASE_CALCULO!$B$3*$B$2/$B$3*D342))</f>
        <v/>
      </c>
    </row>
    <row r="343" spans="1:5" ht="15" x14ac:dyDescent="0.25">
      <c r="A343" s="20"/>
      <c r="B343" s="20"/>
      <c r="C343" s="35"/>
      <c r="D343" s="20"/>
      <c r="E343" s="21" t="str">
        <f>IF(D343="","",SUM(BASE_CALCULO!$B$3*$B$2/$B$3*D343))</f>
        <v/>
      </c>
    </row>
    <row r="344" spans="1:5" ht="15" x14ac:dyDescent="0.25">
      <c r="A344" s="20"/>
      <c r="B344" s="20"/>
      <c r="C344" s="35"/>
      <c r="D344" s="20"/>
      <c r="E344" s="21" t="str">
        <f>IF(D344="","",SUM(BASE_CALCULO!$B$3*$B$2/$B$3*D344))</f>
        <v/>
      </c>
    </row>
    <row r="345" spans="1:5" ht="15" x14ac:dyDescent="0.25">
      <c r="A345" s="20"/>
      <c r="B345" s="20"/>
      <c r="C345" s="35"/>
      <c r="D345" s="20"/>
      <c r="E345" s="21" t="str">
        <f>IF(D345="","",SUM(BASE_CALCULO!$B$3*$B$2/$B$3*D345))</f>
        <v/>
      </c>
    </row>
    <row r="346" spans="1:5" ht="15" x14ac:dyDescent="0.25">
      <c r="A346" s="20"/>
      <c r="B346" s="20"/>
      <c r="C346" s="35"/>
      <c r="D346" s="20"/>
      <c r="E346" s="21" t="str">
        <f>IF(D346="","",SUM(BASE_CALCULO!$B$3*$B$2/$B$3*D346))</f>
        <v/>
      </c>
    </row>
    <row r="347" spans="1:5" ht="15" x14ac:dyDescent="0.25">
      <c r="A347" s="20"/>
      <c r="B347" s="20"/>
      <c r="C347" s="35"/>
      <c r="D347" s="20"/>
      <c r="E347" s="21" t="str">
        <f>IF(D347="","",SUM(BASE_CALCULO!$B$3*$B$2/$B$3*D347))</f>
        <v/>
      </c>
    </row>
    <row r="348" spans="1:5" ht="15" x14ac:dyDescent="0.25">
      <c r="A348" s="20"/>
      <c r="B348" s="20"/>
      <c r="C348" s="35"/>
      <c r="D348" s="20"/>
      <c r="E348" s="21" t="str">
        <f>IF(D348="","",SUM(BASE_CALCULO!$B$3*$B$2/$B$3*D348))</f>
        <v/>
      </c>
    </row>
    <row r="349" spans="1:5" ht="15" x14ac:dyDescent="0.25">
      <c r="A349" s="20"/>
      <c r="B349" s="20"/>
      <c r="C349" s="35"/>
      <c r="D349" s="20"/>
      <c r="E349" s="21" t="str">
        <f>IF(D349="","",SUM(BASE_CALCULO!$B$3*$B$2/$B$3*D349))</f>
        <v/>
      </c>
    </row>
    <row r="350" spans="1:5" ht="15" x14ac:dyDescent="0.25">
      <c r="A350" s="20"/>
      <c r="B350" s="20"/>
      <c r="C350" s="35"/>
      <c r="D350" s="20"/>
      <c r="E350" s="21" t="str">
        <f>IF(D350="","",SUM(BASE_CALCULO!$B$3*$B$2/$B$3*D350))</f>
        <v/>
      </c>
    </row>
    <row r="351" spans="1:5" ht="15" x14ac:dyDescent="0.25">
      <c r="A351" s="20"/>
      <c r="B351" s="20"/>
      <c r="C351" s="35"/>
      <c r="D351" s="20"/>
      <c r="E351" s="21" t="str">
        <f>IF(D351="","",SUM(BASE_CALCULO!$B$3*$B$2/$B$3*D351))</f>
        <v/>
      </c>
    </row>
    <row r="352" spans="1:5" ht="15" x14ac:dyDescent="0.25">
      <c r="A352" s="20"/>
      <c r="B352" s="20"/>
      <c r="C352" s="35"/>
      <c r="D352" s="20"/>
      <c r="E352" s="21" t="str">
        <f>IF(D352="","",SUM(BASE_CALCULO!$B$3*$B$2/$B$3*D352))</f>
        <v/>
      </c>
    </row>
    <row r="353" spans="1:5" ht="15" x14ac:dyDescent="0.25">
      <c r="A353" s="20"/>
      <c r="B353" s="20"/>
      <c r="C353" s="35"/>
      <c r="D353" s="20"/>
      <c r="E353" s="21" t="str">
        <f>IF(D353="","",SUM(BASE_CALCULO!$B$3*$B$2/$B$3*D353))</f>
        <v/>
      </c>
    </row>
    <row r="354" spans="1:5" ht="15" x14ac:dyDescent="0.25">
      <c r="A354" s="20"/>
      <c r="B354" s="20"/>
      <c r="C354" s="35"/>
      <c r="D354" s="20"/>
      <c r="E354" s="21" t="str">
        <f>IF(D354="","",SUM(BASE_CALCULO!$B$3*$B$2/$B$3*D354))</f>
        <v/>
      </c>
    </row>
    <row r="355" spans="1:5" ht="15" x14ac:dyDescent="0.25">
      <c r="A355" s="20"/>
      <c r="B355" s="20"/>
      <c r="C355" s="35"/>
      <c r="D355" s="20"/>
      <c r="E355" s="21" t="str">
        <f>IF(D355="","",SUM(BASE_CALCULO!$B$3*$B$2/$B$3*D355))</f>
        <v/>
      </c>
    </row>
    <row r="356" spans="1:5" ht="15" x14ac:dyDescent="0.25">
      <c r="A356" s="20"/>
      <c r="B356" s="20"/>
      <c r="C356" s="35"/>
      <c r="D356" s="20"/>
      <c r="E356" s="21" t="str">
        <f>IF(D356="","",SUM(BASE_CALCULO!$B$3*$B$2/$B$3*D356))</f>
        <v/>
      </c>
    </row>
    <row r="357" spans="1:5" ht="15" x14ac:dyDescent="0.25">
      <c r="A357" s="20"/>
      <c r="B357" s="20"/>
      <c r="C357" s="35"/>
      <c r="D357" s="20"/>
      <c r="E357" s="21" t="str">
        <f>IF(D357="","",SUM(BASE_CALCULO!$B$3*$B$2/$B$3*D357))</f>
        <v/>
      </c>
    </row>
    <row r="358" spans="1:5" ht="15" x14ac:dyDescent="0.25">
      <c r="A358" s="20"/>
      <c r="B358" s="20"/>
      <c r="C358" s="35"/>
      <c r="D358" s="20"/>
      <c r="E358" s="21" t="str">
        <f>IF(D358="","",SUM(BASE_CALCULO!$B$3*$B$2/$B$3*D358))</f>
        <v/>
      </c>
    </row>
    <row r="359" spans="1:5" ht="15" x14ac:dyDescent="0.25">
      <c r="A359" s="20"/>
      <c r="B359" s="20"/>
      <c r="C359" s="35"/>
      <c r="D359" s="20"/>
      <c r="E359" s="21" t="str">
        <f>IF(D359="","",SUM(BASE_CALCULO!$B$3*$B$2/$B$3*D359))</f>
        <v/>
      </c>
    </row>
    <row r="360" spans="1:5" ht="15" x14ac:dyDescent="0.25">
      <c r="A360" s="20"/>
      <c r="B360" s="20"/>
      <c r="C360" s="35"/>
      <c r="D360" s="20"/>
      <c r="E360" s="21" t="str">
        <f>IF(D360="","",SUM(BASE_CALCULO!$B$3*$B$2/$B$3*D360))</f>
        <v/>
      </c>
    </row>
    <row r="361" spans="1:5" ht="15" x14ac:dyDescent="0.25">
      <c r="A361" s="20"/>
      <c r="B361" s="20"/>
      <c r="C361" s="35"/>
      <c r="D361" s="20"/>
      <c r="E361" s="21" t="str">
        <f>IF(D361="","",SUM(BASE_CALCULO!$B$3*$B$2/$B$3*D361))</f>
        <v/>
      </c>
    </row>
    <row r="362" spans="1:5" ht="15" x14ac:dyDescent="0.25">
      <c r="A362" s="20"/>
      <c r="B362" s="20"/>
      <c r="C362" s="35"/>
      <c r="D362" s="20"/>
      <c r="E362" s="21" t="str">
        <f>IF(D362="","",SUM(BASE_CALCULO!$B$3*$B$2/$B$3*D362))</f>
        <v/>
      </c>
    </row>
    <row r="363" spans="1:5" ht="15" x14ac:dyDescent="0.25">
      <c r="A363" s="20"/>
      <c r="B363" s="20"/>
      <c r="C363" s="35"/>
      <c r="D363" s="20"/>
      <c r="E363" s="21" t="str">
        <f>IF(D363="","",SUM(BASE_CALCULO!$B$3*$B$2/$B$3*D363))</f>
        <v/>
      </c>
    </row>
    <row r="364" spans="1:5" ht="15" x14ac:dyDescent="0.25">
      <c r="A364" s="20"/>
      <c r="B364" s="20"/>
      <c r="C364" s="35"/>
      <c r="D364" s="20"/>
      <c r="E364" s="21" t="str">
        <f>IF(D364="","",SUM(BASE_CALCULO!$B$3*$B$2/$B$3*D364))</f>
        <v/>
      </c>
    </row>
    <row r="365" spans="1:5" ht="15" x14ac:dyDescent="0.25">
      <c r="A365" s="20"/>
      <c r="B365" s="20"/>
      <c r="C365" s="35"/>
      <c r="D365" s="20"/>
      <c r="E365" s="21" t="str">
        <f>IF(D365="","",SUM(BASE_CALCULO!$B$3*$B$2/$B$3*D365))</f>
        <v/>
      </c>
    </row>
    <row r="366" spans="1:5" ht="15" x14ac:dyDescent="0.25">
      <c r="A366" s="20"/>
      <c r="B366" s="20"/>
      <c r="C366" s="35"/>
      <c r="D366" s="20"/>
      <c r="E366" s="21" t="str">
        <f>IF(D366="","",SUM(BASE_CALCULO!$B$3*$B$2/$B$3*D366))</f>
        <v/>
      </c>
    </row>
    <row r="367" spans="1:5" ht="15" x14ac:dyDescent="0.25">
      <c r="A367" s="20"/>
      <c r="B367" s="20"/>
      <c r="C367" s="35"/>
      <c r="D367" s="20"/>
      <c r="E367" s="21" t="str">
        <f>IF(D367="","",SUM(BASE_CALCULO!$B$3*$B$2/$B$3*D367))</f>
        <v/>
      </c>
    </row>
    <row r="368" spans="1:5" ht="15" x14ac:dyDescent="0.25">
      <c r="A368" s="20"/>
      <c r="B368" s="20"/>
      <c r="C368" s="35"/>
      <c r="D368" s="20"/>
      <c r="E368" s="21" t="str">
        <f>IF(D368="","",SUM(BASE_CALCULO!$B$3*$B$2/$B$3*D368))</f>
        <v/>
      </c>
    </row>
    <row r="369" spans="1:5" ht="15" x14ac:dyDescent="0.25">
      <c r="A369" s="20"/>
      <c r="B369" s="20"/>
      <c r="C369" s="35"/>
      <c r="D369" s="20"/>
      <c r="E369" s="21" t="str">
        <f>IF(D369="","",SUM(BASE_CALCULO!$B$3*$B$2/$B$3*D369))</f>
        <v/>
      </c>
    </row>
    <row r="370" spans="1:5" ht="15" x14ac:dyDescent="0.25">
      <c r="A370" s="20"/>
      <c r="B370" s="20"/>
      <c r="C370" s="35"/>
      <c r="D370" s="20"/>
      <c r="E370" s="21" t="str">
        <f>IF(D370="","",SUM(BASE_CALCULO!$B$3*$B$2/$B$3*D370))</f>
        <v/>
      </c>
    </row>
    <row r="371" spans="1:5" ht="15" x14ac:dyDescent="0.25">
      <c r="A371" s="20"/>
      <c r="B371" s="20"/>
      <c r="C371" s="35"/>
      <c r="D371" s="20"/>
      <c r="E371" s="21" t="str">
        <f>IF(D371="","",SUM(BASE_CALCULO!$B$3*$B$2/$B$3*D371))</f>
        <v/>
      </c>
    </row>
    <row r="372" spans="1:5" ht="15" x14ac:dyDescent="0.25">
      <c r="A372" s="20"/>
      <c r="B372" s="20"/>
      <c r="C372" s="35"/>
      <c r="D372" s="20"/>
      <c r="E372" s="21" t="str">
        <f>IF(D372="","",SUM(BASE_CALCULO!$B$3*$B$2/$B$3*D372))</f>
        <v/>
      </c>
    </row>
    <row r="373" spans="1:5" ht="15" x14ac:dyDescent="0.25">
      <c r="A373" s="20"/>
      <c r="B373" s="20"/>
      <c r="C373" s="35"/>
      <c r="D373" s="20"/>
      <c r="E373" s="21" t="str">
        <f>IF(D373="","",SUM(BASE_CALCULO!$B$3*$B$2/$B$3*D373))</f>
        <v/>
      </c>
    </row>
    <row r="374" spans="1:5" ht="15" x14ac:dyDescent="0.25">
      <c r="A374" s="20"/>
      <c r="B374" s="20"/>
      <c r="C374" s="35"/>
      <c r="D374" s="20"/>
      <c r="E374" s="21" t="str">
        <f>IF(D374="","",SUM(BASE_CALCULO!$B$3*$B$2/$B$3*D374))</f>
        <v/>
      </c>
    </row>
    <row r="375" spans="1:5" ht="15" x14ac:dyDescent="0.25">
      <c r="A375" s="20"/>
      <c r="B375" s="20"/>
      <c r="C375" s="35"/>
      <c r="D375" s="20"/>
      <c r="E375" s="21" t="str">
        <f>IF(D375="","",SUM(BASE_CALCULO!$B$3*$B$2/$B$3*D375))</f>
        <v/>
      </c>
    </row>
    <row r="376" spans="1:5" ht="15" x14ac:dyDescent="0.25">
      <c r="A376" s="20"/>
      <c r="B376" s="20"/>
      <c r="C376" s="35"/>
      <c r="D376" s="20"/>
      <c r="E376" s="21" t="str">
        <f>IF(D376="","",SUM(BASE_CALCULO!$B$3*$B$2/$B$3*D376))</f>
        <v/>
      </c>
    </row>
    <row r="377" spans="1:5" ht="15" x14ac:dyDescent="0.25">
      <c r="A377" s="20"/>
      <c r="B377" s="20"/>
      <c r="C377" s="35"/>
      <c r="D377" s="20"/>
      <c r="E377" s="21" t="str">
        <f>IF(D377="","",SUM(BASE_CALCULO!$B$3*$B$2/$B$3*D377))</f>
        <v/>
      </c>
    </row>
    <row r="378" spans="1:5" ht="15" x14ac:dyDescent="0.25">
      <c r="A378" s="20"/>
      <c r="B378" s="20"/>
      <c r="C378" s="35"/>
      <c r="D378" s="20"/>
      <c r="E378" s="21" t="str">
        <f>IF(D378="","",SUM(BASE_CALCULO!$B$3*$B$2/$B$3*D378))</f>
        <v/>
      </c>
    </row>
    <row r="379" spans="1:5" ht="15" x14ac:dyDescent="0.25">
      <c r="A379" s="20"/>
      <c r="B379" s="20"/>
      <c r="C379" s="35"/>
      <c r="D379" s="20"/>
      <c r="E379" s="21" t="str">
        <f>IF(D379="","",SUM(BASE_CALCULO!$B$3*$B$2/$B$3*D379))</f>
        <v/>
      </c>
    </row>
    <row r="380" spans="1:5" ht="15" x14ac:dyDescent="0.25">
      <c r="A380" s="20"/>
      <c r="B380" s="20"/>
      <c r="C380" s="35"/>
      <c r="D380" s="20"/>
      <c r="E380" s="21" t="str">
        <f>IF(D380="","",SUM(BASE_CALCULO!$B$3*$B$2/$B$3*D380))</f>
        <v/>
      </c>
    </row>
    <row r="381" spans="1:5" ht="15" x14ac:dyDescent="0.25">
      <c r="A381" s="20"/>
      <c r="B381" s="20"/>
      <c r="C381" s="35"/>
      <c r="D381" s="20"/>
      <c r="E381" s="21" t="str">
        <f>IF(D381="","",SUM(BASE_CALCULO!$B$3*$B$2/$B$3*D381))</f>
        <v/>
      </c>
    </row>
    <row r="382" spans="1:5" ht="15" x14ac:dyDescent="0.25">
      <c r="A382" s="20"/>
      <c r="B382" s="20"/>
      <c r="C382" s="35"/>
      <c r="D382" s="20"/>
      <c r="E382" s="21" t="str">
        <f>IF(D382="","",SUM(BASE_CALCULO!$B$3*$B$2/$B$3*D382))</f>
        <v/>
      </c>
    </row>
    <row r="383" spans="1:5" ht="15" x14ac:dyDescent="0.25">
      <c r="A383" s="20"/>
      <c r="B383" s="20"/>
      <c r="C383" s="35"/>
      <c r="D383" s="20"/>
      <c r="E383" s="21" t="str">
        <f>IF(D383="","",SUM(BASE_CALCULO!$B$3*$B$2/$B$3*D383))</f>
        <v/>
      </c>
    </row>
    <row r="384" spans="1:5" ht="15" x14ac:dyDescent="0.25">
      <c r="A384" s="20"/>
      <c r="B384" s="20"/>
      <c r="C384" s="35"/>
      <c r="D384" s="20"/>
      <c r="E384" s="21" t="str">
        <f>IF(D384="","",SUM(BASE_CALCULO!$B$3*$B$2/$B$3*D384))</f>
        <v/>
      </c>
    </row>
    <row r="385" spans="1:5" ht="15" x14ac:dyDescent="0.25">
      <c r="A385" s="20"/>
      <c r="B385" s="20"/>
      <c r="C385" s="35"/>
      <c r="D385" s="20"/>
      <c r="E385" s="21" t="str">
        <f>IF(D385="","",SUM(BASE_CALCULO!$B$3*$B$2/$B$3*D385))</f>
        <v/>
      </c>
    </row>
    <row r="386" spans="1:5" ht="15" x14ac:dyDescent="0.25">
      <c r="A386" s="20"/>
      <c r="B386" s="20"/>
      <c r="C386" s="35"/>
      <c r="D386" s="20"/>
      <c r="E386" s="21" t="str">
        <f>IF(D386="","",SUM(BASE_CALCULO!$B$3*$B$2/$B$3*D386))</f>
        <v/>
      </c>
    </row>
    <row r="387" spans="1:5" ht="15" x14ac:dyDescent="0.25">
      <c r="A387" s="20"/>
      <c r="B387" s="20"/>
      <c r="C387" s="35"/>
      <c r="D387" s="20"/>
      <c r="E387" s="21" t="str">
        <f>IF(D387="","",SUM(BASE_CALCULO!$B$3*$B$2/$B$3*D387))</f>
        <v/>
      </c>
    </row>
    <row r="388" spans="1:5" ht="15" x14ac:dyDescent="0.25">
      <c r="A388" s="20"/>
      <c r="B388" s="20"/>
      <c r="C388" s="35"/>
      <c r="D388" s="20"/>
      <c r="E388" s="21" t="str">
        <f>IF(D388="","",SUM(BASE_CALCULO!$B$3*$B$2/$B$3*D388))</f>
        <v/>
      </c>
    </row>
    <row r="389" spans="1:5" ht="15" x14ac:dyDescent="0.25">
      <c r="A389" s="20"/>
      <c r="B389" s="20"/>
      <c r="C389" s="35"/>
      <c r="D389" s="20"/>
      <c r="E389" s="21" t="str">
        <f>IF(D389="","",SUM(BASE_CALCULO!$B$3*$B$2/$B$3*D389))</f>
        <v/>
      </c>
    </row>
    <row r="390" spans="1:5" ht="15" x14ac:dyDescent="0.25">
      <c r="A390" s="20"/>
      <c r="B390" s="20"/>
      <c r="C390" s="35"/>
      <c r="D390" s="20"/>
      <c r="E390" s="21" t="str">
        <f>IF(D390="","",SUM(BASE_CALCULO!$B$3*$B$2/$B$3*D390))</f>
        <v/>
      </c>
    </row>
    <row r="391" spans="1:5" ht="15" x14ac:dyDescent="0.25">
      <c r="A391" s="20"/>
      <c r="B391" s="20"/>
      <c r="C391" s="35"/>
      <c r="D391" s="20"/>
      <c r="E391" s="21" t="str">
        <f>IF(D391="","",SUM(BASE_CALCULO!$B$3*$B$2/$B$3*D391))</f>
        <v/>
      </c>
    </row>
    <row r="392" spans="1:5" ht="15" x14ac:dyDescent="0.25">
      <c r="A392" s="20"/>
      <c r="B392" s="20"/>
      <c r="C392" s="35"/>
      <c r="D392" s="20"/>
      <c r="E392" s="21" t="str">
        <f>IF(D392="","",SUM(BASE_CALCULO!$B$3*$B$2/$B$3*D392))</f>
        <v/>
      </c>
    </row>
    <row r="393" spans="1:5" ht="15" x14ac:dyDescent="0.25">
      <c r="A393" s="20"/>
      <c r="B393" s="20"/>
      <c r="C393" s="35"/>
      <c r="D393" s="20"/>
      <c r="E393" s="21" t="str">
        <f>IF(D393="","",SUM(BASE_CALCULO!$B$3*$B$2/$B$3*D393))</f>
        <v/>
      </c>
    </row>
    <row r="394" spans="1:5" ht="15" x14ac:dyDescent="0.25">
      <c r="A394" s="20"/>
      <c r="B394" s="20"/>
      <c r="C394" s="35"/>
      <c r="D394" s="20"/>
      <c r="E394" s="21" t="str">
        <f>IF(D394="","",SUM(BASE_CALCULO!$B$3*$B$2/$B$3*D394))</f>
        <v/>
      </c>
    </row>
    <row r="395" spans="1:5" ht="15" x14ac:dyDescent="0.25">
      <c r="A395" s="20"/>
      <c r="B395" s="20"/>
      <c r="C395" s="35"/>
      <c r="D395" s="20"/>
      <c r="E395" s="21" t="str">
        <f>IF(D395="","",SUM(BASE_CALCULO!$B$3*$B$2/$B$3*D395))</f>
        <v/>
      </c>
    </row>
    <row r="396" spans="1:5" ht="15" x14ac:dyDescent="0.25">
      <c r="A396" s="20"/>
      <c r="B396" s="20"/>
      <c r="C396" s="35"/>
      <c r="D396" s="20"/>
      <c r="E396" s="21" t="str">
        <f>IF(D396="","",SUM(BASE_CALCULO!$B$3*$B$2/$B$3*D396))</f>
        <v/>
      </c>
    </row>
    <row r="397" spans="1:5" ht="15" x14ac:dyDescent="0.25">
      <c r="A397" s="20"/>
      <c r="B397" s="20"/>
      <c r="C397" s="35"/>
      <c r="D397" s="20"/>
      <c r="E397" s="21" t="str">
        <f>IF(D397="","",SUM(BASE_CALCULO!$B$3*$B$2/$B$3*D397))</f>
        <v/>
      </c>
    </row>
    <row r="398" spans="1:5" ht="15" x14ac:dyDescent="0.25">
      <c r="A398" s="20"/>
      <c r="B398" s="20"/>
      <c r="C398" s="35"/>
      <c r="D398" s="20"/>
      <c r="E398" s="21" t="str">
        <f>IF(D398="","",SUM(BASE_CALCULO!$B$3*$B$2/$B$3*D398))</f>
        <v/>
      </c>
    </row>
    <row r="399" spans="1:5" ht="15" x14ac:dyDescent="0.25">
      <c r="A399" s="20"/>
      <c r="B399" s="20"/>
      <c r="C399" s="35"/>
      <c r="D399" s="20"/>
      <c r="E399" s="21" t="str">
        <f>IF(D399="","",SUM(BASE_CALCULO!$B$3*$B$2/$B$3*D399))</f>
        <v/>
      </c>
    </row>
    <row r="400" spans="1:5" ht="15" x14ac:dyDescent="0.25">
      <c r="A400" s="20"/>
      <c r="B400" s="20"/>
      <c r="C400" s="35"/>
      <c r="D400" s="20"/>
      <c r="E400" s="21" t="str">
        <f>IF(D400="","",SUM(BASE_CALCULO!$B$3*$B$2/$B$3*D400))</f>
        <v/>
      </c>
    </row>
    <row r="401" spans="1:5" ht="15" x14ac:dyDescent="0.25">
      <c r="A401" s="20"/>
      <c r="B401" s="20"/>
      <c r="C401" s="35"/>
      <c r="D401" s="20"/>
      <c r="E401" s="21" t="str">
        <f>IF(D401="","",SUM(BASE_CALCULO!$B$3*$B$2/$B$3*D401))</f>
        <v/>
      </c>
    </row>
    <row r="402" spans="1:5" ht="15" x14ac:dyDescent="0.25">
      <c r="A402" s="20"/>
      <c r="B402" s="20"/>
      <c r="C402" s="35"/>
      <c r="D402" s="20"/>
      <c r="E402" s="21" t="str">
        <f>IF(D402="","",SUM(BASE_CALCULO!$B$3*$B$2/$B$3*D402))</f>
        <v/>
      </c>
    </row>
    <row r="403" spans="1:5" ht="15" x14ac:dyDescent="0.25">
      <c r="A403" s="20"/>
      <c r="B403" s="20"/>
      <c r="C403" s="35"/>
      <c r="D403" s="20"/>
      <c r="E403" s="21" t="str">
        <f>IF(D403="","",SUM(BASE_CALCULO!$B$3*$B$2/$B$3*D403))</f>
        <v/>
      </c>
    </row>
    <row r="404" spans="1:5" ht="15" x14ac:dyDescent="0.25">
      <c r="A404" s="20"/>
      <c r="B404" s="20"/>
      <c r="C404" s="35"/>
      <c r="D404" s="20"/>
      <c r="E404" s="21" t="str">
        <f>IF(D404="","",SUM(BASE_CALCULO!$B$3*$B$2/$B$3*D404))</f>
        <v/>
      </c>
    </row>
    <row r="405" spans="1:5" ht="15" x14ac:dyDescent="0.25">
      <c r="A405" s="20"/>
      <c r="B405" s="20"/>
      <c r="C405" s="35"/>
      <c r="D405" s="20"/>
      <c r="E405" s="21" t="str">
        <f>IF(D405="","",SUM(BASE_CALCULO!$B$3*$B$2/$B$3*D405))</f>
        <v/>
      </c>
    </row>
    <row r="406" spans="1:5" ht="15" x14ac:dyDescent="0.25">
      <c r="A406" s="20"/>
      <c r="B406" s="20"/>
      <c r="C406" s="35"/>
      <c r="D406" s="20"/>
      <c r="E406" s="21" t="str">
        <f>IF(D406="","",SUM(BASE_CALCULO!$B$3*$B$2/$B$3*D406))</f>
        <v/>
      </c>
    </row>
    <row r="407" spans="1:5" ht="15" x14ac:dyDescent="0.25">
      <c r="A407" s="20"/>
      <c r="B407" s="20"/>
      <c r="C407" s="35"/>
      <c r="D407" s="20"/>
      <c r="E407" s="21" t="str">
        <f>IF(D407="","",SUM(BASE_CALCULO!$B$3*$B$2/$B$3*D407))</f>
        <v/>
      </c>
    </row>
    <row r="408" spans="1:5" ht="15" x14ac:dyDescent="0.25">
      <c r="A408" s="20"/>
      <c r="B408" s="20"/>
      <c r="C408" s="35"/>
      <c r="D408" s="20"/>
      <c r="E408" s="21" t="str">
        <f>IF(D408="","",SUM(BASE_CALCULO!$B$3*$B$2/$B$3*D408))</f>
        <v/>
      </c>
    </row>
    <row r="409" spans="1:5" ht="15" x14ac:dyDescent="0.25">
      <c r="A409" s="20"/>
      <c r="B409" s="20"/>
      <c r="C409" s="35"/>
      <c r="D409" s="20"/>
      <c r="E409" s="21" t="str">
        <f>IF(D409="","",SUM(BASE_CALCULO!$B$3*$B$2/$B$3*D409))</f>
        <v/>
      </c>
    </row>
    <row r="410" spans="1:5" ht="15" x14ac:dyDescent="0.25">
      <c r="A410" s="20"/>
      <c r="B410" s="20"/>
      <c r="C410" s="35"/>
      <c r="D410" s="20"/>
      <c r="E410" s="21" t="str">
        <f>IF(D410="","",SUM(BASE_CALCULO!$B$3*$B$2/$B$3*D410))</f>
        <v/>
      </c>
    </row>
    <row r="411" spans="1:5" ht="15" x14ac:dyDescent="0.25">
      <c r="A411" s="20"/>
      <c r="B411" s="20"/>
      <c r="C411" s="35"/>
      <c r="D411" s="20"/>
      <c r="E411" s="21" t="str">
        <f>IF(D411="","",SUM(BASE_CALCULO!$B$3*$B$2/$B$3*D411))</f>
        <v/>
      </c>
    </row>
    <row r="412" spans="1:5" ht="15" x14ac:dyDescent="0.25">
      <c r="A412" s="20"/>
      <c r="B412" s="20"/>
      <c r="C412" s="35"/>
      <c r="D412" s="20"/>
      <c r="E412" s="21" t="str">
        <f>IF(D412="","",SUM(BASE_CALCULO!$B$3*$B$2/$B$3*D412))</f>
        <v/>
      </c>
    </row>
    <row r="413" spans="1:5" ht="15" x14ac:dyDescent="0.25">
      <c r="A413" s="20"/>
      <c r="B413" s="20"/>
      <c r="C413" s="35"/>
      <c r="D413" s="20"/>
      <c r="E413" s="21" t="str">
        <f>IF(D413="","",SUM(BASE_CALCULO!$B$3*$B$2/$B$3*D413))</f>
        <v/>
      </c>
    </row>
    <row r="414" spans="1:5" ht="15" x14ac:dyDescent="0.25">
      <c r="A414" s="20"/>
      <c r="B414" s="20"/>
      <c r="C414" s="35"/>
      <c r="D414" s="20"/>
      <c r="E414" s="21" t="str">
        <f>IF(D414="","",SUM(BASE_CALCULO!$B$3*$B$2/$B$3*D414))</f>
        <v/>
      </c>
    </row>
    <row r="415" spans="1:5" ht="15" x14ac:dyDescent="0.25">
      <c r="A415" s="20"/>
      <c r="B415" s="20"/>
      <c r="C415" s="35"/>
      <c r="D415" s="20"/>
      <c r="E415" s="21" t="str">
        <f>IF(D415="","",SUM(BASE_CALCULO!$B$3*$B$2/$B$3*D415))</f>
        <v/>
      </c>
    </row>
    <row r="416" spans="1:5" ht="15" x14ac:dyDescent="0.25">
      <c r="A416" s="20"/>
      <c r="B416" s="20"/>
      <c r="C416" s="35"/>
      <c r="D416" s="20"/>
      <c r="E416" s="21" t="str">
        <f>IF(D416="","",SUM(BASE_CALCULO!$B$3*$B$2/$B$3*D416))</f>
        <v/>
      </c>
    </row>
    <row r="417" spans="1:5" ht="15" x14ac:dyDescent="0.25">
      <c r="A417" s="20"/>
      <c r="B417" s="20"/>
      <c r="C417" s="35"/>
      <c r="D417" s="20"/>
      <c r="E417" s="21" t="str">
        <f>IF(D417="","",SUM(BASE_CALCULO!$B$3*$B$2/$B$3*D417))</f>
        <v/>
      </c>
    </row>
    <row r="418" spans="1:5" ht="15" x14ac:dyDescent="0.25">
      <c r="A418" s="20"/>
      <c r="B418" s="20"/>
      <c r="C418" s="35"/>
      <c r="D418" s="20"/>
      <c r="E418" s="21" t="str">
        <f>IF(D418="","",SUM(BASE_CALCULO!$B$3*$B$2/$B$3*D418))</f>
        <v/>
      </c>
    </row>
    <row r="419" spans="1:5" ht="15" x14ac:dyDescent="0.25">
      <c r="A419" s="20"/>
      <c r="B419" s="20"/>
      <c r="C419" s="35"/>
      <c r="D419" s="20"/>
      <c r="E419" s="21" t="str">
        <f>IF(D419="","",SUM(BASE_CALCULO!$B$3*$B$2/$B$3*D419))</f>
        <v/>
      </c>
    </row>
    <row r="420" spans="1:5" ht="15" x14ac:dyDescent="0.25">
      <c r="A420" s="20"/>
      <c r="B420" s="20"/>
      <c r="C420" s="35"/>
      <c r="D420" s="20"/>
      <c r="E420" s="21" t="str">
        <f>IF(D420="","",SUM(BASE_CALCULO!$B$3*$B$2/$B$3*D420))</f>
        <v/>
      </c>
    </row>
    <row r="421" spans="1:5" ht="15" x14ac:dyDescent="0.25">
      <c r="A421" s="20"/>
      <c r="B421" s="20"/>
      <c r="C421" s="35"/>
      <c r="D421" s="20"/>
      <c r="E421" s="21" t="str">
        <f>IF(D421="","",SUM(BASE_CALCULO!$B$3*$B$2/$B$3*D421))</f>
        <v/>
      </c>
    </row>
    <row r="422" spans="1:5" ht="15" x14ac:dyDescent="0.25">
      <c r="A422" s="20"/>
      <c r="B422" s="20"/>
      <c r="C422" s="35"/>
      <c r="D422" s="20"/>
      <c r="E422" s="21" t="str">
        <f>IF(D422="","",SUM(BASE_CALCULO!$B$3*$B$2/$B$3*D422))</f>
        <v/>
      </c>
    </row>
    <row r="423" spans="1:5" ht="15" x14ac:dyDescent="0.25">
      <c r="A423" s="20"/>
      <c r="B423" s="20"/>
      <c r="C423" s="35"/>
      <c r="D423" s="20"/>
      <c r="E423" s="21" t="str">
        <f>IF(D423="","",SUM(BASE_CALCULO!$B$3*$B$2/$B$3*D423))</f>
        <v/>
      </c>
    </row>
    <row r="424" spans="1:5" ht="15" x14ac:dyDescent="0.25">
      <c r="A424" s="20"/>
      <c r="B424" s="20"/>
      <c r="C424" s="35"/>
      <c r="D424" s="20"/>
      <c r="E424" s="21" t="str">
        <f>IF(D424="","",SUM(BASE_CALCULO!$B$3*$B$2/$B$3*D424))</f>
        <v/>
      </c>
    </row>
    <row r="425" spans="1:5" ht="15" x14ac:dyDescent="0.25">
      <c r="A425" s="20"/>
      <c r="B425" s="20"/>
      <c r="C425" s="35"/>
      <c r="D425" s="20"/>
      <c r="E425" s="21" t="str">
        <f>IF(D425="","",SUM(BASE_CALCULO!$B$3*$B$2/$B$3*D425))</f>
        <v/>
      </c>
    </row>
    <row r="426" spans="1:5" ht="15" x14ac:dyDescent="0.25">
      <c r="A426" s="20"/>
      <c r="B426" s="20"/>
      <c r="C426" s="35"/>
      <c r="D426" s="20"/>
      <c r="E426" s="21" t="str">
        <f>IF(D426="","",SUM(BASE_CALCULO!$B$3*$B$2/$B$3*D426))</f>
        <v/>
      </c>
    </row>
    <row r="427" spans="1:5" ht="15" x14ac:dyDescent="0.25">
      <c r="A427" s="20"/>
      <c r="B427" s="20"/>
      <c r="C427" s="35"/>
      <c r="D427" s="20"/>
      <c r="E427" s="21" t="str">
        <f>IF(D427="","",SUM(BASE_CALCULO!$B$3*$B$2/$B$3*D427))</f>
        <v/>
      </c>
    </row>
    <row r="428" spans="1:5" ht="15" x14ac:dyDescent="0.25">
      <c r="A428" s="20"/>
      <c r="B428" s="20"/>
      <c r="C428" s="35"/>
      <c r="D428" s="20"/>
      <c r="E428" s="21" t="str">
        <f>IF(D428="","",SUM(BASE_CALCULO!$B$3*$B$2/$B$3*D428))</f>
        <v/>
      </c>
    </row>
    <row r="429" spans="1:5" ht="15" x14ac:dyDescent="0.25">
      <c r="A429" s="20"/>
      <c r="B429" s="20"/>
      <c r="C429" s="35"/>
      <c r="D429" s="20"/>
      <c r="E429" s="21" t="str">
        <f>IF(D429="","",SUM(BASE_CALCULO!$B$3*$B$2/$B$3*D429))</f>
        <v/>
      </c>
    </row>
    <row r="430" spans="1:5" ht="15" x14ac:dyDescent="0.25">
      <c r="A430" s="20"/>
      <c r="B430" s="20"/>
      <c r="C430" s="35"/>
      <c r="D430" s="20"/>
      <c r="E430" s="21" t="str">
        <f>IF(D430="","",SUM(BASE_CALCULO!$B$3*$B$2/$B$3*D430))</f>
        <v/>
      </c>
    </row>
    <row r="431" spans="1:5" ht="15" x14ac:dyDescent="0.25">
      <c r="A431" s="20"/>
      <c r="B431" s="20"/>
      <c r="C431" s="35"/>
      <c r="D431" s="20"/>
      <c r="E431" s="21" t="str">
        <f>IF(D431="","",SUM(BASE_CALCULO!$B$3*$B$2/$B$3*D431))</f>
        <v/>
      </c>
    </row>
    <row r="432" spans="1:5" ht="15" x14ac:dyDescent="0.25">
      <c r="A432" s="20"/>
      <c r="B432" s="20"/>
      <c r="C432" s="35"/>
      <c r="D432" s="20"/>
      <c r="E432" s="21" t="str">
        <f>IF(D432="","",SUM(BASE_CALCULO!$B$3*$B$2/$B$3*D432))</f>
        <v/>
      </c>
    </row>
    <row r="433" spans="1:5" ht="15" x14ac:dyDescent="0.25">
      <c r="A433" s="20"/>
      <c r="B433" s="20"/>
      <c r="C433" s="35"/>
      <c r="D433" s="20"/>
      <c r="E433" s="21" t="str">
        <f>IF(D433="","",SUM(BASE_CALCULO!$B$3*$B$2/$B$3*D433))</f>
        <v/>
      </c>
    </row>
    <row r="434" spans="1:5" ht="15" x14ac:dyDescent="0.25">
      <c r="A434" s="20"/>
      <c r="B434" s="20"/>
      <c r="C434" s="35"/>
      <c r="D434" s="20"/>
      <c r="E434" s="21" t="str">
        <f>IF(D434="","",SUM(BASE_CALCULO!$B$3*$B$2/$B$3*D434))</f>
        <v/>
      </c>
    </row>
    <row r="435" spans="1:5" ht="15" x14ac:dyDescent="0.25">
      <c r="A435" s="20"/>
      <c r="B435" s="20"/>
      <c r="C435" s="35"/>
      <c r="D435" s="20"/>
      <c r="E435" s="21" t="str">
        <f>IF(D435="","",SUM(BASE_CALCULO!$B$3*$B$2/$B$3*D435))</f>
        <v/>
      </c>
    </row>
    <row r="436" spans="1:5" ht="15" x14ac:dyDescent="0.25">
      <c r="A436" s="20"/>
      <c r="B436" s="20"/>
      <c r="C436" s="35"/>
      <c r="D436" s="20"/>
      <c r="E436" s="21" t="str">
        <f>IF(D436="","",SUM(BASE_CALCULO!$B$3*$B$2/$B$3*D436))</f>
        <v/>
      </c>
    </row>
    <row r="437" spans="1:5" ht="15" x14ac:dyDescent="0.25">
      <c r="A437" s="20"/>
      <c r="B437" s="20"/>
      <c r="C437" s="35"/>
      <c r="D437" s="20"/>
      <c r="E437" s="21" t="str">
        <f>IF(D437="","",SUM(BASE_CALCULO!$B$3*$B$2/$B$3*D437))</f>
        <v/>
      </c>
    </row>
    <row r="438" spans="1:5" ht="15" x14ac:dyDescent="0.25">
      <c r="A438" s="20"/>
      <c r="B438" s="20"/>
      <c r="C438" s="35"/>
      <c r="D438" s="20"/>
      <c r="E438" s="21" t="str">
        <f>IF(D438="","",SUM(BASE_CALCULO!$B$3*$B$2/$B$3*D438))</f>
        <v/>
      </c>
    </row>
    <row r="439" spans="1:5" ht="15" x14ac:dyDescent="0.25">
      <c r="A439" s="20"/>
      <c r="B439" s="20"/>
      <c r="C439" s="35"/>
      <c r="D439" s="20"/>
      <c r="E439" s="21" t="str">
        <f>IF(D439="","",SUM(BASE_CALCULO!$B$3*$B$2/$B$3*D439))</f>
        <v/>
      </c>
    </row>
    <row r="440" spans="1:5" ht="15" x14ac:dyDescent="0.25">
      <c r="A440" s="20"/>
      <c r="B440" s="20"/>
      <c r="C440" s="35"/>
      <c r="D440" s="20"/>
      <c r="E440" s="21" t="str">
        <f>IF(D440="","",SUM(BASE_CALCULO!$B$3*$B$2/$B$3*D440))</f>
        <v/>
      </c>
    </row>
    <row r="441" spans="1:5" ht="15" x14ac:dyDescent="0.25">
      <c r="A441" s="20"/>
      <c r="B441" s="20"/>
      <c r="C441" s="35"/>
      <c r="D441" s="20"/>
      <c r="E441" s="21" t="str">
        <f>IF(D441="","",SUM(BASE_CALCULO!$B$3*$B$2/$B$3*D441))</f>
        <v/>
      </c>
    </row>
    <row r="442" spans="1:5" ht="15" x14ac:dyDescent="0.25">
      <c r="A442" s="20"/>
      <c r="B442" s="20"/>
      <c r="C442" s="35"/>
      <c r="D442" s="20"/>
      <c r="E442" s="21" t="str">
        <f>IF(D442="","",SUM(BASE_CALCULO!$B$3*$B$2/$B$3*D442))</f>
        <v/>
      </c>
    </row>
    <row r="443" spans="1:5" ht="15" x14ac:dyDescent="0.25">
      <c r="A443" s="20"/>
      <c r="B443" s="20"/>
      <c r="C443" s="35"/>
      <c r="D443" s="20"/>
      <c r="E443" s="21" t="str">
        <f>IF(D443="","",SUM(BASE_CALCULO!$B$3*$B$2/$B$3*D443))</f>
        <v/>
      </c>
    </row>
    <row r="444" spans="1:5" ht="15" x14ac:dyDescent="0.25">
      <c r="A444" s="20"/>
      <c r="B444" s="20"/>
      <c r="C444" s="35"/>
      <c r="D444" s="20"/>
      <c r="E444" s="21" t="str">
        <f>IF(D444="","",SUM(BASE_CALCULO!$B$3*$B$2/$B$3*D444))</f>
        <v/>
      </c>
    </row>
    <row r="445" spans="1:5" ht="15" x14ac:dyDescent="0.25">
      <c r="A445" s="20"/>
      <c r="B445" s="20"/>
      <c r="C445" s="35"/>
      <c r="D445" s="20"/>
      <c r="E445" s="21" t="str">
        <f>IF(D445="","",SUM(BASE_CALCULO!$B$3*$B$2/$B$3*D445))</f>
        <v/>
      </c>
    </row>
    <row r="446" spans="1:5" ht="15" x14ac:dyDescent="0.25">
      <c r="A446" s="20"/>
      <c r="B446" s="20"/>
      <c r="C446" s="35"/>
      <c r="D446" s="20"/>
      <c r="E446" s="21" t="str">
        <f>IF(D446="","",SUM(BASE_CALCULO!$B$3*$B$2/$B$3*D446))</f>
        <v/>
      </c>
    </row>
    <row r="447" spans="1:5" ht="15" x14ac:dyDescent="0.25">
      <c r="A447" s="20"/>
      <c r="B447" s="20"/>
      <c r="C447" s="35"/>
      <c r="D447" s="20"/>
      <c r="E447" s="21" t="str">
        <f>IF(D447="","",SUM(BASE_CALCULO!$B$3*$B$2/$B$3*D447))</f>
        <v/>
      </c>
    </row>
    <row r="448" spans="1:5" ht="15" x14ac:dyDescent="0.25">
      <c r="A448" s="20"/>
      <c r="B448" s="20"/>
      <c r="C448" s="35"/>
      <c r="D448" s="20"/>
      <c r="E448" s="21" t="str">
        <f>IF(D448="","",SUM(BASE_CALCULO!$B$3*$B$2/$B$3*D448))</f>
        <v/>
      </c>
    </row>
    <row r="449" spans="1:5" ht="15" x14ac:dyDescent="0.25">
      <c r="A449" s="20"/>
      <c r="B449" s="20"/>
      <c r="C449" s="35"/>
      <c r="D449" s="20"/>
      <c r="E449" s="21" t="str">
        <f>IF(D449="","",SUM(BASE_CALCULO!$B$3*$B$2/$B$3*D449))</f>
        <v/>
      </c>
    </row>
    <row r="450" spans="1:5" ht="15" x14ac:dyDescent="0.25">
      <c r="A450" s="20"/>
      <c r="B450" s="20"/>
      <c r="C450" s="35"/>
      <c r="D450" s="20"/>
      <c r="E450" s="21" t="str">
        <f>IF(D450="","",SUM(BASE_CALCULO!$B$3*$B$2/$B$3*D450))</f>
        <v/>
      </c>
    </row>
    <row r="451" spans="1:5" ht="15" x14ac:dyDescent="0.25">
      <c r="A451" s="20"/>
      <c r="B451" s="20"/>
      <c r="C451" s="35"/>
      <c r="D451" s="20"/>
      <c r="E451" s="21" t="str">
        <f>IF(D451="","",SUM(BASE_CALCULO!$B$3*$B$2/$B$3*D451))</f>
        <v/>
      </c>
    </row>
    <row r="452" spans="1:5" ht="15" x14ac:dyDescent="0.25">
      <c r="A452" s="20"/>
      <c r="B452" s="20"/>
      <c r="C452" s="35"/>
      <c r="D452" s="20"/>
      <c r="E452" s="21" t="str">
        <f>IF(D452="","",SUM(BASE_CALCULO!$B$3*$B$2/$B$3*D452))</f>
        <v/>
      </c>
    </row>
    <row r="453" spans="1:5" ht="15" x14ac:dyDescent="0.25">
      <c r="A453" s="20"/>
      <c r="B453" s="20"/>
      <c r="C453" s="35"/>
      <c r="D453" s="20"/>
      <c r="E453" s="21" t="str">
        <f>IF(D453="","",SUM(BASE_CALCULO!$B$3*$B$2/$B$3*D453))</f>
        <v/>
      </c>
    </row>
    <row r="454" spans="1:5" ht="15" x14ac:dyDescent="0.25">
      <c r="A454" s="20"/>
      <c r="B454" s="20"/>
      <c r="C454" s="35"/>
      <c r="D454" s="20"/>
      <c r="E454" s="21" t="str">
        <f>IF(D454="","",SUM(BASE_CALCULO!$B$3*$B$2/$B$3*D454))</f>
        <v/>
      </c>
    </row>
    <row r="455" spans="1:5" ht="15" x14ac:dyDescent="0.25">
      <c r="A455" s="20"/>
      <c r="B455" s="20"/>
      <c r="C455" s="35"/>
      <c r="D455" s="20"/>
      <c r="E455" s="21" t="str">
        <f>IF(D455="","",SUM(BASE_CALCULO!$B$3*$B$2/$B$3*D455))</f>
        <v/>
      </c>
    </row>
    <row r="456" spans="1:5" ht="15" x14ac:dyDescent="0.25">
      <c r="A456" s="20"/>
      <c r="B456" s="20"/>
      <c r="C456" s="35"/>
      <c r="D456" s="20"/>
      <c r="E456" s="21" t="str">
        <f>IF(D456="","",SUM(BASE_CALCULO!$B$3*$B$2/$B$3*D456))</f>
        <v/>
      </c>
    </row>
    <row r="457" spans="1:5" ht="15" x14ac:dyDescent="0.25">
      <c r="A457" s="20"/>
      <c r="B457" s="20"/>
      <c r="C457" s="35"/>
      <c r="D457" s="20"/>
      <c r="E457" s="21" t="str">
        <f>IF(D457="","",SUM(BASE_CALCULO!$B$3*$B$2/$B$3*D457))</f>
        <v/>
      </c>
    </row>
    <row r="458" spans="1:5" ht="15" x14ac:dyDescent="0.25">
      <c r="A458" s="20"/>
      <c r="B458" s="20"/>
      <c r="C458" s="35"/>
      <c r="D458" s="20"/>
      <c r="E458" s="21" t="str">
        <f>IF(D458="","",SUM(BASE_CALCULO!$B$3*$B$2/$B$3*D458))</f>
        <v/>
      </c>
    </row>
    <row r="459" spans="1:5" ht="15" x14ac:dyDescent="0.25">
      <c r="A459" s="20"/>
      <c r="B459" s="20"/>
      <c r="C459" s="35"/>
      <c r="D459" s="20"/>
      <c r="E459" s="21" t="str">
        <f>IF(D459="","",SUM(BASE_CALCULO!$B$3*$B$2/$B$3*D459))</f>
        <v/>
      </c>
    </row>
    <row r="460" spans="1:5" ht="15" x14ac:dyDescent="0.25">
      <c r="A460" s="20"/>
      <c r="B460" s="20"/>
      <c r="C460" s="35"/>
      <c r="D460" s="20"/>
      <c r="E460" s="21" t="str">
        <f>IF(D460="","",SUM(BASE_CALCULO!$B$3*$B$2/$B$3*D460))</f>
        <v/>
      </c>
    </row>
    <row r="461" spans="1:5" ht="15" x14ac:dyDescent="0.25">
      <c r="A461" s="20"/>
      <c r="B461" s="20"/>
      <c r="C461" s="35"/>
      <c r="D461" s="20"/>
      <c r="E461" s="21" t="str">
        <f>IF(D461="","",SUM(BASE_CALCULO!$B$3*$B$2/$B$3*D461))</f>
        <v/>
      </c>
    </row>
    <row r="462" spans="1:5" ht="15" x14ac:dyDescent="0.25">
      <c r="A462" s="20"/>
      <c r="B462" s="20"/>
      <c r="C462" s="35"/>
      <c r="D462" s="20"/>
      <c r="E462" s="21" t="str">
        <f>IF(D462="","",SUM(BASE_CALCULO!$B$3*$B$2/$B$3*D462))</f>
        <v/>
      </c>
    </row>
    <row r="463" spans="1:5" ht="15" x14ac:dyDescent="0.25">
      <c r="A463" s="20"/>
      <c r="B463" s="20"/>
      <c r="C463" s="35"/>
      <c r="D463" s="20"/>
      <c r="E463" s="21" t="str">
        <f>IF(D463="","",SUM(BASE_CALCULO!$B$3*$B$2/$B$3*D463))</f>
        <v/>
      </c>
    </row>
    <row r="464" spans="1:5" ht="15" x14ac:dyDescent="0.25">
      <c r="A464" s="20"/>
      <c r="B464" s="20"/>
      <c r="C464" s="35"/>
      <c r="D464" s="20"/>
      <c r="E464" s="21" t="str">
        <f>IF(D464="","",SUM(BASE_CALCULO!$B$3*$B$2/$B$3*D464))</f>
        <v/>
      </c>
    </row>
    <row r="465" spans="1:5" ht="15" x14ac:dyDescent="0.25">
      <c r="A465" s="20"/>
      <c r="B465" s="20"/>
      <c r="C465" s="35"/>
      <c r="D465" s="20"/>
      <c r="E465" s="21" t="str">
        <f>IF(D465="","",SUM(BASE_CALCULO!$B$3*$B$2/$B$3*D465))</f>
        <v/>
      </c>
    </row>
    <row r="466" spans="1:5" ht="15" x14ac:dyDescent="0.25">
      <c r="A466" s="20"/>
      <c r="B466" s="20"/>
      <c r="C466" s="35"/>
      <c r="D466" s="20"/>
      <c r="E466" s="21" t="str">
        <f>IF(D466="","",SUM(BASE_CALCULO!$B$3*$B$2/$B$3*D466))</f>
        <v/>
      </c>
    </row>
    <row r="467" spans="1:5" ht="15" x14ac:dyDescent="0.25">
      <c r="A467" s="20"/>
      <c r="B467" s="20"/>
      <c r="C467" s="35"/>
      <c r="D467" s="20"/>
      <c r="E467" s="21" t="str">
        <f>IF(D467="","",SUM(BASE_CALCULO!$B$3*$B$2/$B$3*D467))</f>
        <v/>
      </c>
    </row>
    <row r="468" spans="1:5" ht="15" x14ac:dyDescent="0.25">
      <c r="A468" s="20"/>
      <c r="B468" s="20"/>
      <c r="C468" s="35"/>
      <c r="D468" s="20"/>
      <c r="E468" s="21" t="str">
        <f>IF(D468="","",SUM(BASE_CALCULO!$B$3*$B$2/$B$3*D468))</f>
        <v/>
      </c>
    </row>
    <row r="469" spans="1:5" ht="15" x14ac:dyDescent="0.25">
      <c r="A469" s="20"/>
      <c r="B469" s="20"/>
      <c r="C469" s="35"/>
      <c r="D469" s="20"/>
      <c r="E469" s="21" t="str">
        <f>IF(D469="","",SUM(BASE_CALCULO!$B$3*$B$2/$B$3*D469))</f>
        <v/>
      </c>
    </row>
    <row r="470" spans="1:5" ht="15" x14ac:dyDescent="0.25">
      <c r="A470" s="20"/>
      <c r="B470" s="20"/>
      <c r="C470" s="35"/>
      <c r="D470" s="20"/>
      <c r="E470" s="21" t="str">
        <f>IF(D470="","",SUM(BASE_CALCULO!$B$3*$B$2/$B$3*D470))</f>
        <v/>
      </c>
    </row>
    <row r="471" spans="1:5" ht="15" x14ac:dyDescent="0.25">
      <c r="A471" s="20"/>
      <c r="B471" s="20"/>
      <c r="C471" s="35"/>
      <c r="D471" s="20"/>
      <c r="E471" s="21" t="str">
        <f>IF(D471="","",SUM(BASE_CALCULO!$B$3*$B$2/$B$3*D471))</f>
        <v/>
      </c>
    </row>
    <row r="472" spans="1:5" ht="15" x14ac:dyDescent="0.25">
      <c r="A472" s="20"/>
      <c r="B472" s="20"/>
      <c r="C472" s="35"/>
      <c r="D472" s="20"/>
      <c r="E472" s="21" t="str">
        <f>IF(D472="","",SUM(BASE_CALCULO!$B$3*$B$2/$B$3*D472))</f>
        <v/>
      </c>
    </row>
    <row r="473" spans="1:5" ht="15" x14ac:dyDescent="0.25">
      <c r="A473" s="20"/>
      <c r="B473" s="20"/>
      <c r="C473" s="35"/>
      <c r="D473" s="20"/>
      <c r="E473" s="21" t="str">
        <f>IF(D473="","",SUM(BASE_CALCULO!$B$3*$B$2/$B$3*D473))</f>
        <v/>
      </c>
    </row>
    <row r="474" spans="1:5" ht="15" x14ac:dyDescent="0.25">
      <c r="A474" s="20"/>
      <c r="B474" s="20"/>
      <c r="C474" s="35"/>
      <c r="D474" s="20"/>
      <c r="E474" s="21" t="str">
        <f>IF(D474="","",SUM(BASE_CALCULO!$B$3*$B$2/$B$3*D474))</f>
        <v/>
      </c>
    </row>
    <row r="475" spans="1:5" ht="15" x14ac:dyDescent="0.25">
      <c r="A475" s="20"/>
      <c r="B475" s="20"/>
      <c r="C475" s="35"/>
      <c r="D475" s="20"/>
      <c r="E475" s="21" t="str">
        <f>IF(D475="","",SUM(BASE_CALCULO!$B$3*$B$2/$B$3*D475))</f>
        <v/>
      </c>
    </row>
    <row r="476" spans="1:5" ht="15" x14ac:dyDescent="0.25">
      <c r="A476" s="20"/>
      <c r="B476" s="20"/>
      <c r="C476" s="35"/>
      <c r="D476" s="20"/>
      <c r="E476" s="21" t="str">
        <f>IF(D476="","",SUM(BASE_CALCULO!$B$3*$B$2/$B$3*D476))</f>
        <v/>
      </c>
    </row>
    <row r="477" spans="1:5" ht="15" x14ac:dyDescent="0.25">
      <c r="A477" s="20"/>
      <c r="B477" s="20"/>
      <c r="C477" s="35"/>
      <c r="D477" s="20"/>
      <c r="E477" s="21" t="str">
        <f>IF(D477="","",SUM(BASE_CALCULO!$B$3*$B$2/$B$3*D477))</f>
        <v/>
      </c>
    </row>
    <row r="478" spans="1:5" ht="15" x14ac:dyDescent="0.25">
      <c r="A478" s="20"/>
      <c r="B478" s="20"/>
      <c r="C478" s="35"/>
      <c r="D478" s="20"/>
      <c r="E478" s="21" t="str">
        <f>IF(D478="","",SUM(BASE_CALCULO!$B$3*$B$2/$B$3*D478))</f>
        <v/>
      </c>
    </row>
    <row r="479" spans="1:5" ht="15" x14ac:dyDescent="0.25">
      <c r="A479" s="20"/>
      <c r="B479" s="20"/>
      <c r="C479" s="35"/>
      <c r="D479" s="20"/>
      <c r="E479" s="21" t="str">
        <f>IF(D479="","",SUM(BASE_CALCULO!$B$3*$B$2/$B$3*D479))</f>
        <v/>
      </c>
    </row>
    <row r="480" spans="1:5" ht="15" x14ac:dyDescent="0.25">
      <c r="A480" s="20"/>
      <c r="B480" s="20"/>
      <c r="C480" s="35"/>
      <c r="D480" s="20"/>
      <c r="E480" s="21" t="str">
        <f>IF(D480="","",SUM(BASE_CALCULO!$B$3*$B$2/$B$3*D480))</f>
        <v/>
      </c>
    </row>
    <row r="481" spans="1:5" ht="15" x14ac:dyDescent="0.25">
      <c r="A481" s="20"/>
      <c r="B481" s="20"/>
      <c r="C481" s="35"/>
      <c r="D481" s="20"/>
      <c r="E481" s="21" t="str">
        <f>IF(D481="","",SUM(BASE_CALCULO!$B$3*$B$2/$B$3*D481))</f>
        <v/>
      </c>
    </row>
    <row r="482" spans="1:5" ht="15" x14ac:dyDescent="0.25">
      <c r="A482" s="20"/>
      <c r="B482" s="20"/>
      <c r="C482" s="35"/>
      <c r="D482" s="20"/>
      <c r="E482" s="21" t="str">
        <f>IF(D482="","",SUM(BASE_CALCULO!$B$3*$B$2/$B$3*D482))</f>
        <v/>
      </c>
    </row>
    <row r="483" spans="1:5" ht="15" x14ac:dyDescent="0.25">
      <c r="A483" s="20"/>
      <c r="B483" s="20"/>
      <c r="C483" s="35"/>
      <c r="D483" s="20"/>
      <c r="E483" s="21" t="str">
        <f>IF(D483="","",SUM(BASE_CALCULO!$B$3*$B$2/$B$3*D483))</f>
        <v/>
      </c>
    </row>
    <row r="484" spans="1:5" ht="15" x14ac:dyDescent="0.25">
      <c r="A484" s="20"/>
      <c r="B484" s="20"/>
      <c r="C484" s="35"/>
      <c r="D484" s="20"/>
      <c r="E484" s="21" t="str">
        <f>IF(D484="","",SUM(BASE_CALCULO!$B$3*$B$2/$B$3*D484))</f>
        <v/>
      </c>
    </row>
    <row r="485" spans="1:5" ht="15" x14ac:dyDescent="0.25">
      <c r="A485" s="20"/>
      <c r="B485" s="20"/>
      <c r="C485" s="35"/>
      <c r="D485" s="20"/>
      <c r="E485" s="21" t="str">
        <f>IF(D485="","",SUM(BASE_CALCULO!$B$3*$B$2/$B$3*D485))</f>
        <v/>
      </c>
    </row>
    <row r="486" spans="1:5" ht="15" x14ac:dyDescent="0.25">
      <c r="A486" s="20"/>
      <c r="B486" s="20"/>
      <c r="C486" s="35"/>
      <c r="D486" s="20"/>
      <c r="E486" s="21" t="str">
        <f>IF(D486="","",SUM(BASE_CALCULO!$B$3*$B$2/$B$3*D486))</f>
        <v/>
      </c>
    </row>
    <row r="487" spans="1:5" ht="15" x14ac:dyDescent="0.25">
      <c r="A487" s="20"/>
      <c r="B487" s="20"/>
      <c r="C487" s="35"/>
      <c r="D487" s="20"/>
      <c r="E487" s="21" t="str">
        <f>IF(D487="","",SUM(BASE_CALCULO!$B$3*$B$2/$B$3*D487))</f>
        <v/>
      </c>
    </row>
    <row r="488" spans="1:5" ht="15" x14ac:dyDescent="0.25">
      <c r="A488" s="20"/>
      <c r="B488" s="20"/>
      <c r="C488" s="35"/>
      <c r="D488" s="20"/>
      <c r="E488" s="21" t="str">
        <f>IF(D488="","",SUM(BASE_CALCULO!$B$3*$B$2/$B$3*D488))</f>
        <v/>
      </c>
    </row>
    <row r="489" spans="1:5" ht="15" x14ac:dyDescent="0.25">
      <c r="A489" s="20"/>
      <c r="B489" s="20"/>
      <c r="C489" s="35"/>
      <c r="D489" s="20"/>
      <c r="E489" s="21" t="str">
        <f>IF(D489="","",SUM(BASE_CALCULO!$B$3*$B$2/$B$3*D489))</f>
        <v/>
      </c>
    </row>
    <row r="490" spans="1:5" ht="15" x14ac:dyDescent="0.25">
      <c r="A490" s="20"/>
      <c r="B490" s="20"/>
      <c r="C490" s="35"/>
      <c r="D490" s="20"/>
      <c r="E490" s="21" t="str">
        <f>IF(D490="","",SUM(BASE_CALCULO!$B$3*$B$2/$B$3*D490))</f>
        <v/>
      </c>
    </row>
    <row r="491" spans="1:5" ht="15" x14ac:dyDescent="0.25">
      <c r="A491" s="20"/>
      <c r="B491" s="20"/>
      <c r="C491" s="35"/>
      <c r="D491" s="20"/>
      <c r="E491" s="21" t="str">
        <f>IF(D491="","",SUM(BASE_CALCULO!$B$3*$B$2/$B$3*D491))</f>
        <v/>
      </c>
    </row>
    <row r="492" spans="1:5" ht="15" x14ac:dyDescent="0.25">
      <c r="A492" s="20"/>
      <c r="B492" s="20"/>
      <c r="C492" s="35"/>
      <c r="D492" s="20"/>
      <c r="E492" s="21" t="str">
        <f>IF(D492="","",SUM(BASE_CALCULO!$B$3*$B$2/$B$3*D492))</f>
        <v/>
      </c>
    </row>
    <row r="493" spans="1:5" ht="15" x14ac:dyDescent="0.25">
      <c r="A493" s="20"/>
      <c r="B493" s="20"/>
      <c r="C493" s="35"/>
      <c r="D493" s="20"/>
      <c r="E493" s="21" t="str">
        <f>IF(D493="","",SUM(BASE_CALCULO!$B$3*$B$2/$B$3*D493))</f>
        <v/>
      </c>
    </row>
    <row r="494" spans="1:5" ht="15" x14ac:dyDescent="0.25">
      <c r="A494" s="20"/>
      <c r="B494" s="20"/>
      <c r="C494" s="35"/>
      <c r="D494" s="20"/>
      <c r="E494" s="21" t="str">
        <f>IF(D494="","",SUM(BASE_CALCULO!$B$3*$B$2/$B$3*D494))</f>
        <v/>
      </c>
    </row>
    <row r="495" spans="1:5" ht="15" x14ac:dyDescent="0.25">
      <c r="A495" s="20"/>
      <c r="B495" s="20"/>
      <c r="C495" s="35"/>
      <c r="D495" s="20"/>
      <c r="E495" s="21" t="str">
        <f>IF(D495="","",SUM(BASE_CALCULO!$B$3*$B$2/$B$3*D495))</f>
        <v/>
      </c>
    </row>
    <row r="496" spans="1:5" ht="15" x14ac:dyDescent="0.25">
      <c r="A496" s="20"/>
      <c r="B496" s="20"/>
      <c r="C496" s="35"/>
      <c r="D496" s="20"/>
      <c r="E496" s="21" t="str">
        <f>IF(D496="","",SUM(BASE_CALCULO!$B$3*$B$2/$B$3*D496))</f>
        <v/>
      </c>
    </row>
    <row r="497" spans="1:5" ht="15" x14ac:dyDescent="0.25">
      <c r="A497" s="20"/>
      <c r="B497" s="20"/>
      <c r="C497" s="35"/>
      <c r="D497" s="20"/>
      <c r="E497" s="21" t="str">
        <f>IF(D497="","",SUM(BASE_CALCULO!$B$3*$B$2/$B$3*D497))</f>
        <v/>
      </c>
    </row>
    <row r="498" spans="1:5" ht="15" x14ac:dyDescent="0.25">
      <c r="A498" s="20"/>
      <c r="B498" s="20"/>
      <c r="C498" s="35"/>
      <c r="D498" s="20"/>
      <c r="E498" s="21" t="str">
        <f>IF(D498="","",SUM(BASE_CALCULO!$B$3*$B$2/$B$3*D498))</f>
        <v/>
      </c>
    </row>
    <row r="499" spans="1:5" ht="15" x14ac:dyDescent="0.25">
      <c r="A499" s="20"/>
      <c r="B499" s="20"/>
      <c r="C499" s="35"/>
      <c r="D499" s="20"/>
      <c r="E499" s="21" t="str">
        <f>IF(D499="","",SUM(BASE_CALCULO!$B$3*$B$2/$B$3*D499))</f>
        <v/>
      </c>
    </row>
    <row r="500" spans="1:5" ht="15" x14ac:dyDescent="0.25">
      <c r="A500" s="20"/>
      <c r="B500" s="20"/>
      <c r="C500" s="35"/>
      <c r="D500" s="20"/>
      <c r="E500" s="21" t="str">
        <f>IF(D500="","",SUM(BASE_CALCULO!$B$3*$B$2/$B$3*D500))</f>
        <v/>
      </c>
    </row>
    <row r="501" spans="1:5" ht="15" x14ac:dyDescent="0.25">
      <c r="A501" s="20"/>
      <c r="B501" s="20"/>
      <c r="C501" s="35"/>
      <c r="D501" s="20"/>
      <c r="E501" s="21" t="str">
        <f>IF(D501="","",SUM(BASE_CALCULO!$B$3*$B$2/$B$3*D501))</f>
        <v/>
      </c>
    </row>
    <row r="502" spans="1:5" ht="15" x14ac:dyDescent="0.25">
      <c r="A502" s="20"/>
      <c r="B502" s="20"/>
      <c r="C502" s="35"/>
      <c r="D502" s="20"/>
      <c r="E502" s="21" t="str">
        <f>IF(D502="","",SUM(BASE_CALCULO!$B$3*$B$2/$B$3*D502))</f>
        <v/>
      </c>
    </row>
    <row r="503" spans="1:5" ht="15" x14ac:dyDescent="0.25">
      <c r="A503" s="20"/>
      <c r="B503" s="20"/>
      <c r="C503" s="35"/>
      <c r="D503" s="20"/>
      <c r="E503" s="21" t="str">
        <f>IF(D503="","",SUM(BASE_CALCULO!$B$3*$B$2/$B$3*D503))</f>
        <v/>
      </c>
    </row>
    <row r="504" spans="1:5" ht="15" x14ac:dyDescent="0.25">
      <c r="A504" s="20"/>
      <c r="B504" s="20"/>
      <c r="C504" s="35"/>
      <c r="D504" s="20"/>
      <c r="E504" s="21" t="str">
        <f>IF(D504="","",SUM(BASE_CALCULO!$B$3*$B$2/$B$3*D504))</f>
        <v/>
      </c>
    </row>
    <row r="505" spans="1:5" ht="15" x14ac:dyDescent="0.25">
      <c r="A505" s="20"/>
      <c r="B505" s="20"/>
      <c r="C505" s="35"/>
      <c r="D505" s="20"/>
      <c r="E505" s="21" t="str">
        <f>IF(D505="","",SUM(BASE_CALCULO!$B$3*$B$2/$B$3*D505))</f>
        <v/>
      </c>
    </row>
    <row r="506" spans="1:5" ht="15" x14ac:dyDescent="0.25">
      <c r="A506" s="20"/>
      <c r="B506" s="20"/>
      <c r="C506" s="35"/>
      <c r="D506" s="20"/>
      <c r="E506" s="21" t="str">
        <f>IF(D506="","",SUM(BASE_CALCULO!$B$3*$B$2/$B$3*D506))</f>
        <v/>
      </c>
    </row>
  </sheetData>
  <sortState xmlns:xlrd2="http://schemas.microsoft.com/office/spreadsheetml/2017/richdata2" ref="C1:E506">
    <sortCondition ref="C1"/>
  </sortState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BASE_CALCULO</vt:lpstr>
      <vt:lpstr>D</vt:lpstr>
      <vt:lpstr>CADASTRO_PRODUTO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LUCIANO</dc:creator>
  <cp:lastModifiedBy>Ana</cp:lastModifiedBy>
  <dcterms:created xsi:type="dcterms:W3CDTF">2023-08-15T21:02:00Z</dcterms:created>
  <dcterms:modified xsi:type="dcterms:W3CDTF">2025-11-03T17:43:44Z</dcterms:modified>
</cp:coreProperties>
</file>